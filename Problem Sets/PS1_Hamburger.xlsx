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1_ Why Statistics is Important/"/>
    </mc:Choice>
  </mc:AlternateContent>
  <xr:revisionPtr revIDLastSave="0" documentId="13_ncr:1_{300D4EF0-AD2C-3D41-8BBC-7389E85DEC1D}" xr6:coauthVersionLast="45" xr6:coauthVersionMax="45" xr10:uidLastSave="{00000000-0000-0000-0000-000000000000}"/>
  <bookViews>
    <workbookView xWindow="8940" yWindow="740" windowWidth="27640" windowHeight="16940" xr2:uid="{562BC7A6-42AF-4C4F-80FD-E7381F8A0A76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" l="1"/>
  <c r="B20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C23" i="1" l="1"/>
  <c r="B23" i="1"/>
  <c r="C19" i="1"/>
  <c r="B19" i="1"/>
  <c r="C15" i="1"/>
  <c r="C16" i="1" s="1"/>
  <c r="C18" i="1" s="1"/>
  <c r="B15" i="1"/>
  <c r="B16" i="1" s="1"/>
  <c r="B18" i="1" s="1"/>
  <c r="C21" i="1" l="1"/>
  <c r="C25" i="1" s="1"/>
  <c r="C27" i="1" s="1"/>
  <c r="B21" i="1"/>
  <c r="B25" i="1" s="1"/>
  <c r="B27" i="1" s="1"/>
</calcChain>
</file>

<file path=xl/sharedStrings.xml><?xml version="1.0" encoding="utf-8"?>
<sst xmlns="http://schemas.openxmlformats.org/spreadsheetml/2006/main" count="28" uniqueCount="22">
  <si>
    <t>Patty-O-Matic 330A</t>
  </si>
  <si>
    <t>Gesame MH-100 Food Former</t>
  </si>
  <si>
    <t>Cost</t>
  </si>
  <si>
    <t>Average Patty Size (oz)</t>
  </si>
  <si>
    <t>Ounces per pound</t>
  </si>
  <si>
    <t>Minimum patty size</t>
  </si>
  <si>
    <t>Cost if under</t>
  </si>
  <si>
    <t>Standard Deviation (oz)</t>
  </si>
  <si>
    <t>Supply cost (per lb)</t>
  </si>
  <si>
    <t>Observation</t>
  </si>
  <si>
    <t>Total Production (oz)</t>
  </si>
  <si>
    <t>Total Production (lbs)</t>
  </si>
  <si>
    <t>Fixed Labor Cost</t>
  </si>
  <si>
    <t>Cost of production</t>
  </si>
  <si>
    <t>Cost of reused meat</t>
  </si>
  <si>
    <t>Total Cost</t>
  </si>
  <si>
    <t>Total Revenue</t>
  </si>
  <si>
    <t>Total Profit</t>
  </si>
  <si>
    <t>Days to Break-even</t>
  </si>
  <si>
    <t>Raw Production</t>
  </si>
  <si>
    <t>Actual Production</t>
  </si>
  <si>
    <t>Retail Price per 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</si>
</sst>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0" xfId="0" applyFont="1"/>
    <xf numFmtId="44" fontId="0" fillId="4" borderId="1" xfId="2" applyFont="1" applyFill="1" applyBorder="1"/>
    <xf numFmtId="44" fontId="0" fillId="5" borderId="1" xfId="2" applyFont="1" applyFill="1" applyBorder="1"/>
    <xf numFmtId="43" fontId="0" fillId="4" borderId="1" xfId="1" applyFont="1" applyFill="1" applyBorder="1"/>
    <xf numFmtId="43" fontId="0" fillId="5" borderId="1" xfId="1" applyFont="1" applyFill="1" applyBorder="1"/>
    <xf numFmtId="8" fontId="0" fillId="4" borderId="1" xfId="2" applyNumberFormat="1" applyFont="1" applyFill="1" applyBorder="1"/>
    <xf numFmtId="44" fontId="0" fillId="4" borderId="1" xfId="0" applyNumberFormat="1" applyFill="1" applyBorder="1"/>
    <xf numFmtId="44" fontId="0" fillId="5" borderId="1" xfId="0" applyNumberFormat="1" applyFill="1" applyBorder="1"/>
    <xf numFmtId="0" fontId="3" fillId="0" borderId="1" xfId="0" applyFont="1" applyBorder="1"/>
    <xf numFmtId="0" fontId="3" fillId="0" borderId="3" xfId="0" applyFont="1" applyBorder="1"/>
    <xf numFmtId="0" fontId="0" fillId="4" borderId="3" xfId="0" applyFill="1" applyBorder="1"/>
    <xf numFmtId="0" fontId="0" fillId="5" borderId="3" xfId="0" applyFill="1" applyBorder="1"/>
    <xf numFmtId="0" fontId="3" fillId="0" borderId="2" xfId="0" applyFont="1" applyBorder="1"/>
    <xf numFmtId="0" fontId="0" fillId="4" borderId="2" xfId="0" applyFill="1" applyBorder="1"/>
    <xf numFmtId="0" fontId="0" fillId="5" borderId="2" xfId="0" applyFill="1" applyBorder="1"/>
    <xf numFmtId="44" fontId="0" fillId="4" borderId="3" xfId="0" applyNumberFormat="1" applyFill="1" applyBorder="1"/>
    <xf numFmtId="44" fontId="0" fillId="5" borderId="3" xfId="0" applyNumberFormat="1" applyFill="1" applyBorder="1"/>
    <xf numFmtId="0" fontId="3" fillId="0" borderId="4" xfId="0" applyFont="1" applyBorder="1"/>
    <xf numFmtId="0" fontId="0" fillId="4" borderId="4" xfId="0" applyFill="1" applyBorder="1"/>
    <xf numFmtId="0" fontId="0" fillId="5" borderId="4" xfId="0" applyFill="1" applyBorder="1"/>
    <xf numFmtId="44" fontId="0" fillId="4" borderId="2" xfId="0" applyNumberFormat="1" applyFill="1" applyBorder="1"/>
    <xf numFmtId="44" fontId="0" fillId="5" borderId="2" xfId="0" applyNumberFormat="1" applyFill="1" applyBorder="1"/>
    <xf numFmtId="0" fontId="3" fillId="0" borderId="5" xfId="0" applyFont="1" applyBorder="1"/>
    <xf numFmtId="44" fontId="0" fillId="4" borderId="5" xfId="0" applyNumberFormat="1" applyFill="1" applyBorder="1"/>
    <xf numFmtId="44" fontId="0" fillId="5" borderId="5" xfId="0" applyNumberFormat="1" applyFill="1" applyBorder="1"/>
    <xf numFmtId="44" fontId="0" fillId="6" borderId="4" xfId="0" applyNumberFormat="1" applyFill="1" applyBorder="1"/>
    <xf numFmtId="2" fontId="0" fillId="4" borderId="2" xfId="0" applyNumberFormat="1" applyFill="1" applyBorder="1"/>
    <xf numFmtId="2" fontId="0" fillId="5" borderId="2" xfId="0" applyNumberForma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3AD9-0EBC-1643-A3A2-204FD46B8372}">
  <dimension ref="A1:K102"/>
  <sheetViews>
    <sheetView tabSelected="1" workbookViewId="0">
      <selection activeCell="B10" sqref="B10"/>
    </sheetView>
  </sheetViews>
  <sheetFormatPr baseColWidth="10" defaultRowHeight="16"/>
  <cols>
    <col min="1" max="1" width="21.6640625" bestFit="1" customWidth="1"/>
    <col min="2" max="2" width="17.5" bestFit="1" customWidth="1"/>
    <col min="3" max="3" width="26.33203125" bestFit="1" customWidth="1"/>
    <col min="5" max="5" width="11" bestFit="1" customWidth="1"/>
    <col min="6" max="6" width="17.5" bestFit="1" customWidth="1"/>
    <col min="7" max="7" width="26.33203125" bestFit="1" customWidth="1"/>
    <col min="10" max="10" width="17.5" bestFit="1" customWidth="1"/>
    <col min="11" max="11" width="26.33203125" bestFit="1" customWidth="1"/>
  </cols>
  <sheetData>
    <row r="1" spans="1:11">
      <c r="E1" s="1" t="s">
        <v>19</v>
      </c>
      <c r="F1" s="1"/>
      <c r="G1" s="1"/>
      <c r="I1" s="2" t="s">
        <v>20</v>
      </c>
      <c r="J1" s="2"/>
      <c r="K1" s="2"/>
    </row>
    <row r="2" spans="1:11">
      <c r="A2" s="3"/>
      <c r="B2" s="7" t="s">
        <v>0</v>
      </c>
      <c r="C2" s="8" t="s">
        <v>1</v>
      </c>
      <c r="E2" s="6" t="s">
        <v>9</v>
      </c>
      <c r="F2" s="7" t="s">
        <v>0</v>
      </c>
      <c r="G2" s="8" t="s">
        <v>1</v>
      </c>
      <c r="H2" s="9"/>
      <c r="I2" s="6" t="s">
        <v>9</v>
      </c>
      <c r="J2" s="7" t="s">
        <v>0</v>
      </c>
      <c r="K2" s="8" t="s">
        <v>1</v>
      </c>
    </row>
    <row r="3" spans="1:11">
      <c r="A3" s="17" t="s">
        <v>2</v>
      </c>
      <c r="B3" s="10">
        <v>7995</v>
      </c>
      <c r="C3" s="11">
        <v>9900</v>
      </c>
      <c r="E3" s="3">
        <v>1</v>
      </c>
      <c r="F3" s="4">
        <v>3.9918686728390322</v>
      </c>
      <c r="G3" s="5">
        <v>4.0032137413462392</v>
      </c>
      <c r="I3" s="3">
        <v>1</v>
      </c>
      <c r="J3" s="4">
        <f>IF(F3&lt;$B$8, 0, F3)</f>
        <v>3.9918686728390322</v>
      </c>
      <c r="K3" s="5">
        <f>IF(G3&lt;$B$8, 0, G3)</f>
        <v>4.0032137413462392</v>
      </c>
    </row>
    <row r="4" spans="1:11">
      <c r="A4" s="17" t="s">
        <v>3</v>
      </c>
      <c r="B4" s="12">
        <v>4</v>
      </c>
      <c r="C4" s="13">
        <v>4</v>
      </c>
      <c r="E4" s="3">
        <v>2</v>
      </c>
      <c r="F4" s="4">
        <v>4.0531473618885796</v>
      </c>
      <c r="G4" s="5">
        <v>4.0178066533276366</v>
      </c>
      <c r="I4" s="3">
        <v>2</v>
      </c>
      <c r="J4" s="4">
        <f t="shared" ref="J4:J67" si="0">IF(F4&lt;$B$8, 0, F4)</f>
        <v>4.0531473618885796</v>
      </c>
      <c r="K4" s="5">
        <f t="shared" ref="K4:K67" si="1">IF(G4&lt;$B$8, 0, G4)</f>
        <v>4.0178066533276366</v>
      </c>
    </row>
    <row r="5" spans="1:11">
      <c r="A5" s="17" t="s">
        <v>7</v>
      </c>
      <c r="B5" s="4">
        <v>0.03</v>
      </c>
      <c r="C5" s="5">
        <v>0.01</v>
      </c>
      <c r="E5" s="3">
        <v>3</v>
      </c>
      <c r="F5" s="4">
        <v>3.9966762298582559</v>
      </c>
      <c r="G5" s="5">
        <v>3.9960870010706264</v>
      </c>
      <c r="I5" s="3">
        <v>3</v>
      </c>
      <c r="J5" s="4">
        <f t="shared" si="0"/>
        <v>3.9966762298582559</v>
      </c>
      <c r="K5" s="5">
        <f t="shared" si="1"/>
        <v>3.9960870010706264</v>
      </c>
    </row>
    <row r="6" spans="1:11">
      <c r="A6" s="17"/>
      <c r="B6" s="4"/>
      <c r="C6" s="5"/>
      <c r="E6" s="3">
        <v>4</v>
      </c>
      <c r="F6" s="4">
        <v>3.992890310768578</v>
      </c>
      <c r="G6" s="5">
        <v>3.9990240134287216</v>
      </c>
      <c r="I6" s="3">
        <v>4</v>
      </c>
      <c r="J6" s="4">
        <f t="shared" si="0"/>
        <v>3.992890310768578</v>
      </c>
      <c r="K6" s="5">
        <f t="shared" si="1"/>
        <v>3.9990240134287216</v>
      </c>
    </row>
    <row r="7" spans="1:11">
      <c r="A7" s="17" t="s">
        <v>4</v>
      </c>
      <c r="B7" s="4">
        <v>16</v>
      </c>
      <c r="C7" s="5">
        <v>16</v>
      </c>
      <c r="E7" s="3">
        <v>5</v>
      </c>
      <c r="F7" s="4">
        <v>4.0251101314197841</v>
      </c>
      <c r="G7" s="5">
        <v>4.0109522208442669</v>
      </c>
      <c r="I7" s="3">
        <v>5</v>
      </c>
      <c r="J7" s="4">
        <f t="shared" si="0"/>
        <v>4.0251101314197841</v>
      </c>
      <c r="K7" s="5">
        <f t="shared" si="1"/>
        <v>4.0109522208442669</v>
      </c>
    </row>
    <row r="8" spans="1:11">
      <c r="A8" s="17" t="s">
        <v>5</v>
      </c>
      <c r="B8" s="4">
        <v>3.99</v>
      </c>
      <c r="C8" s="5">
        <v>3.99</v>
      </c>
      <c r="E8" s="3">
        <v>6</v>
      </c>
      <c r="F8" s="4">
        <v>3.9968187727774671</v>
      </c>
      <c r="G8" s="5">
        <v>4.0004796727166401</v>
      </c>
      <c r="I8" s="3">
        <v>6</v>
      </c>
      <c r="J8" s="4">
        <f t="shared" si="0"/>
        <v>3.9968187727774671</v>
      </c>
      <c r="K8" s="5">
        <f t="shared" si="1"/>
        <v>4.0004796727166401</v>
      </c>
    </row>
    <row r="9" spans="1:11">
      <c r="A9" s="17" t="s">
        <v>6</v>
      </c>
      <c r="B9" s="10">
        <v>0.25</v>
      </c>
      <c r="C9" s="11">
        <v>0.25</v>
      </c>
      <c r="E9" s="3">
        <v>7</v>
      </c>
      <c r="F9" s="4">
        <v>3.9920074523187981</v>
      </c>
      <c r="G9" s="5">
        <v>4.0013109831364249</v>
      </c>
      <c r="I9" s="3">
        <v>7</v>
      </c>
      <c r="J9" s="4">
        <f t="shared" si="0"/>
        <v>3.9920074523187981</v>
      </c>
      <c r="K9" s="5">
        <f t="shared" si="1"/>
        <v>4.0013109831364249</v>
      </c>
    </row>
    <row r="10" spans="1:11">
      <c r="A10" s="17"/>
      <c r="B10" s="14"/>
      <c r="C10" s="5"/>
      <c r="E10" s="3">
        <v>8</v>
      </c>
      <c r="F10" s="4">
        <v>3.9583398324796115</v>
      </c>
      <c r="G10" s="5">
        <v>4.0162148035477365</v>
      </c>
      <c r="I10" s="3">
        <v>8</v>
      </c>
      <c r="J10" s="4">
        <f t="shared" si="0"/>
        <v>0</v>
      </c>
      <c r="K10" s="5">
        <f t="shared" si="1"/>
        <v>4.0162148035477365</v>
      </c>
    </row>
    <row r="11" spans="1:11">
      <c r="A11" s="17" t="s">
        <v>8</v>
      </c>
      <c r="B11" s="10">
        <v>2</v>
      </c>
      <c r="C11" s="11">
        <v>2</v>
      </c>
      <c r="E11" s="3">
        <v>9</v>
      </c>
      <c r="F11" s="4">
        <v>4.0041892586818886</v>
      </c>
      <c r="G11" s="5">
        <v>3.9939357490335934</v>
      </c>
      <c r="I11" s="3">
        <v>9</v>
      </c>
      <c r="J11" s="4">
        <f t="shared" si="0"/>
        <v>4.0041892586818886</v>
      </c>
      <c r="K11" s="5">
        <f t="shared" si="1"/>
        <v>3.9939357490335934</v>
      </c>
    </row>
    <row r="12" spans="1:11">
      <c r="A12" s="17" t="s">
        <v>12</v>
      </c>
      <c r="B12" s="10">
        <v>12</v>
      </c>
      <c r="C12" s="11">
        <v>12</v>
      </c>
      <c r="E12" s="3">
        <v>10</v>
      </c>
      <c r="F12" s="4">
        <v>3.9882561258812674</v>
      </c>
      <c r="G12" s="5">
        <v>3.993085812935123</v>
      </c>
      <c r="I12" s="3">
        <v>10</v>
      </c>
      <c r="J12" s="4">
        <f t="shared" si="0"/>
        <v>0</v>
      </c>
      <c r="K12" s="5">
        <f t="shared" si="1"/>
        <v>3.993085812935123</v>
      </c>
    </row>
    <row r="13" spans="1:11">
      <c r="A13" s="17" t="s">
        <v>21</v>
      </c>
      <c r="B13" s="10">
        <v>1.5</v>
      </c>
      <c r="C13" s="11">
        <v>1.5</v>
      </c>
      <c r="E13" s="3">
        <v>11</v>
      </c>
      <c r="F13" s="4">
        <v>4.0313708172656817</v>
      </c>
      <c r="G13" s="5">
        <v>3.9800372861679802</v>
      </c>
      <c r="I13" s="3">
        <v>11</v>
      </c>
      <c r="J13" s="4">
        <f t="shared" si="0"/>
        <v>4.0313708172656817</v>
      </c>
      <c r="K13" s="5">
        <f t="shared" si="1"/>
        <v>0</v>
      </c>
    </row>
    <row r="14" spans="1:11" ht="17" thickBot="1">
      <c r="A14" s="21"/>
      <c r="B14" s="22"/>
      <c r="C14" s="23"/>
      <c r="E14" s="3">
        <v>12</v>
      </c>
      <c r="F14" s="4">
        <v>4.0641248117538495</v>
      </c>
      <c r="G14" s="5">
        <v>4.0107551139565194</v>
      </c>
      <c r="I14" s="3">
        <v>12</v>
      </c>
      <c r="J14" s="4">
        <f t="shared" si="0"/>
        <v>4.0641248117538495</v>
      </c>
      <c r="K14" s="5">
        <f t="shared" si="1"/>
        <v>4.0107551139565194</v>
      </c>
    </row>
    <row r="15" spans="1:11">
      <c r="A15" s="18" t="s">
        <v>10</v>
      </c>
      <c r="B15" s="19">
        <f>SUM(J3:J102)</f>
        <v>273.08869011723766</v>
      </c>
      <c r="C15" s="20">
        <f>SUM(K3:K102)</f>
        <v>316.22829166224943</v>
      </c>
      <c r="E15" s="3">
        <v>13</v>
      </c>
      <c r="F15" s="4">
        <v>4.0185461874181279</v>
      </c>
      <c r="G15" s="5">
        <v>3.988857093646081</v>
      </c>
      <c r="I15" s="3">
        <v>13</v>
      </c>
      <c r="J15" s="4">
        <f t="shared" si="0"/>
        <v>4.0185461874181279</v>
      </c>
      <c r="K15" s="5">
        <f t="shared" si="1"/>
        <v>0</v>
      </c>
    </row>
    <row r="16" spans="1:11" ht="17" thickBot="1">
      <c r="A16" s="21" t="s">
        <v>11</v>
      </c>
      <c r="B16" s="22">
        <f>B15/B7</f>
        <v>17.068043132327354</v>
      </c>
      <c r="C16" s="23">
        <f>C15/C7</f>
        <v>19.76426822889059</v>
      </c>
      <c r="E16" s="3">
        <v>14</v>
      </c>
      <c r="F16" s="4">
        <v>4.0155973429250711</v>
      </c>
      <c r="G16" s="5">
        <v>3.9936471307471892</v>
      </c>
      <c r="I16" s="3">
        <v>14</v>
      </c>
      <c r="J16" s="4">
        <f t="shared" si="0"/>
        <v>4.0155973429250711</v>
      </c>
      <c r="K16" s="5">
        <f t="shared" si="1"/>
        <v>3.9936471307471892</v>
      </c>
    </row>
    <row r="17" spans="1:11" ht="17" thickBot="1">
      <c r="A17" s="26"/>
      <c r="B17" s="27"/>
      <c r="C17" s="28"/>
      <c r="E17" s="3">
        <v>15</v>
      </c>
      <c r="F17" s="4">
        <v>4.0004645478630581</v>
      </c>
      <c r="G17" s="5">
        <v>4.004275457553188</v>
      </c>
      <c r="I17" s="3">
        <v>15</v>
      </c>
      <c r="J17" s="4">
        <f t="shared" si="0"/>
        <v>4.0004645478630581</v>
      </c>
      <c r="K17" s="5">
        <f t="shared" si="1"/>
        <v>4.004275457553188</v>
      </c>
    </row>
    <row r="18" spans="1:11">
      <c r="A18" s="18" t="s">
        <v>13</v>
      </c>
      <c r="B18" s="24">
        <f>B16*B11</f>
        <v>34.136086264654708</v>
      </c>
      <c r="C18" s="25">
        <f>C16*C11</f>
        <v>39.528536457781179</v>
      </c>
      <c r="E18" s="3">
        <v>16</v>
      </c>
      <c r="F18" s="4">
        <v>3.9592358855428285</v>
      </c>
      <c r="G18" s="5">
        <v>4.0098973923501395</v>
      </c>
      <c r="I18" s="3">
        <v>16</v>
      </c>
      <c r="J18" s="4">
        <f t="shared" si="0"/>
        <v>0</v>
      </c>
      <c r="K18" s="5">
        <f t="shared" si="1"/>
        <v>4.0098973923501395</v>
      </c>
    </row>
    <row r="19" spans="1:11">
      <c r="A19" s="17" t="s">
        <v>14</v>
      </c>
      <c r="B19" s="15">
        <f>COUNTIF(J3:J102, "=0")*B9</f>
        <v>8</v>
      </c>
      <c r="C19" s="16">
        <f>COUNTIF(K3:K102, "=0")*C9</f>
        <v>5.25</v>
      </c>
      <c r="E19" s="3">
        <v>17</v>
      </c>
      <c r="F19" s="4">
        <v>3.992592373807768</v>
      </c>
      <c r="G19" s="5">
        <v>4.0149834806435898</v>
      </c>
      <c r="I19" s="3">
        <v>17</v>
      </c>
      <c r="J19" s="4">
        <f t="shared" si="0"/>
        <v>3.992592373807768</v>
      </c>
      <c r="K19" s="5">
        <f t="shared" si="1"/>
        <v>4.0149834806435898</v>
      </c>
    </row>
    <row r="20" spans="1:11">
      <c r="A20" s="17" t="s">
        <v>12</v>
      </c>
      <c r="B20" s="15">
        <f>B12</f>
        <v>12</v>
      </c>
      <c r="C20" s="16">
        <f>C12</f>
        <v>12</v>
      </c>
      <c r="E20" s="3">
        <v>18</v>
      </c>
      <c r="F20" s="4">
        <v>3.9846572654354784</v>
      </c>
      <c r="G20" s="5">
        <v>3.9840060811907763</v>
      </c>
      <c r="I20" s="3">
        <v>18</v>
      </c>
      <c r="J20" s="4">
        <f t="shared" si="0"/>
        <v>0</v>
      </c>
      <c r="K20" s="5">
        <f t="shared" si="1"/>
        <v>0</v>
      </c>
    </row>
    <row r="21" spans="1:11" ht="17" thickBot="1">
      <c r="A21" s="21" t="s">
        <v>15</v>
      </c>
      <c r="B21" s="29">
        <f>SUM(B18:B20)</f>
        <v>54.136086264654708</v>
      </c>
      <c r="C21" s="30">
        <f>SUM(C18:C20)</f>
        <v>56.778536457781179</v>
      </c>
      <c r="E21" s="3">
        <v>19</v>
      </c>
      <c r="F21" s="4">
        <v>3.9795327186997573</v>
      </c>
      <c r="G21" s="5">
        <v>4.0003965600991487</v>
      </c>
      <c r="I21" s="3">
        <v>19</v>
      </c>
      <c r="J21" s="4">
        <f t="shared" si="0"/>
        <v>0</v>
      </c>
      <c r="K21" s="5">
        <f t="shared" si="1"/>
        <v>4.0003965600991487</v>
      </c>
    </row>
    <row r="22" spans="1:11" ht="17" thickBot="1">
      <c r="A22" s="26"/>
      <c r="B22" s="27"/>
      <c r="C22" s="28"/>
      <c r="E22" s="3">
        <v>20</v>
      </c>
      <c r="F22" s="4">
        <v>3.9969649459569299</v>
      </c>
      <c r="G22" s="5">
        <v>4.022468003233282</v>
      </c>
      <c r="I22" s="3">
        <v>20</v>
      </c>
      <c r="J22" s="4">
        <f t="shared" si="0"/>
        <v>3.9969649459569299</v>
      </c>
      <c r="K22" s="5">
        <f t="shared" si="1"/>
        <v>4.022468003233282</v>
      </c>
    </row>
    <row r="23" spans="1:11" ht="17" thickBot="1">
      <c r="A23" s="31" t="s">
        <v>16</v>
      </c>
      <c r="B23" s="32">
        <f>COUNTIF(J3:J102, "&lt;&gt;0")*B13</f>
        <v>102</v>
      </c>
      <c r="C23" s="33">
        <f>COUNTIF(K3:K102, "&lt;&gt;0")*C13</f>
        <v>118.5</v>
      </c>
      <c r="E23" s="3">
        <v>21</v>
      </c>
      <c r="F23" s="4">
        <v>4.0010130343913826</v>
      </c>
      <c r="G23" s="5">
        <v>4.0042802424342314</v>
      </c>
      <c r="I23" s="3">
        <v>21</v>
      </c>
      <c r="J23" s="4">
        <f t="shared" si="0"/>
        <v>4.0010130343913826</v>
      </c>
      <c r="K23" s="5">
        <f t="shared" si="1"/>
        <v>4.0042802424342314</v>
      </c>
    </row>
    <row r="24" spans="1:11" ht="17" thickBot="1">
      <c r="A24" s="26"/>
      <c r="B24" s="27"/>
      <c r="C24" s="28"/>
      <c r="E24" s="3">
        <v>22</v>
      </c>
      <c r="F24" s="4">
        <v>3.9906667468392394</v>
      </c>
      <c r="G24" s="5">
        <v>3.9959456883929287</v>
      </c>
      <c r="I24" s="3">
        <v>22</v>
      </c>
      <c r="J24" s="4">
        <f t="shared" si="0"/>
        <v>3.9906667468392394</v>
      </c>
      <c r="K24" s="5">
        <f t="shared" si="1"/>
        <v>3.9959456883929287</v>
      </c>
    </row>
    <row r="25" spans="1:11" ht="17" thickBot="1">
      <c r="A25" s="26" t="s">
        <v>17</v>
      </c>
      <c r="B25" s="34">
        <f>B23-B21</f>
        <v>47.863913735345292</v>
      </c>
      <c r="C25" s="34">
        <f>C23-C21</f>
        <v>61.721463542218821</v>
      </c>
      <c r="E25" s="3">
        <v>23</v>
      </c>
      <c r="F25" s="4">
        <v>4.0386509191559341</v>
      </c>
      <c r="G25" s="5">
        <v>3.9914740677913945</v>
      </c>
      <c r="I25" s="3">
        <v>23</v>
      </c>
      <c r="J25" s="4">
        <f t="shared" si="0"/>
        <v>4.0386509191559341</v>
      </c>
      <c r="K25" s="5">
        <f t="shared" si="1"/>
        <v>3.9914740677913945</v>
      </c>
    </row>
    <row r="26" spans="1:11">
      <c r="A26" s="18"/>
      <c r="B26" s="19"/>
      <c r="C26" s="20"/>
      <c r="E26" s="3">
        <v>24</v>
      </c>
      <c r="F26" s="4">
        <v>4.0008937731765188</v>
      </c>
      <c r="G26" s="5">
        <v>4.0186475709842844</v>
      </c>
      <c r="I26" s="3">
        <v>24</v>
      </c>
      <c r="J26" s="4">
        <f t="shared" si="0"/>
        <v>4.0008937731765188</v>
      </c>
      <c r="K26" s="5">
        <f t="shared" si="1"/>
        <v>4.0186475709842844</v>
      </c>
    </row>
    <row r="27" spans="1:11" ht="17" thickBot="1">
      <c r="A27" s="21" t="s">
        <v>18</v>
      </c>
      <c r="B27" s="35">
        <f>B3/B25</f>
        <v>167.03606905625983</v>
      </c>
      <c r="C27" s="36">
        <f>C3/C25</f>
        <v>160.3980111914907</v>
      </c>
      <c r="E27" s="3">
        <v>25</v>
      </c>
      <c r="F27" s="4">
        <v>3.9993940708776683</v>
      </c>
      <c r="G27" s="5">
        <v>4.0101476915256891</v>
      </c>
      <c r="I27" s="3">
        <v>25</v>
      </c>
      <c r="J27" s="4">
        <f t="shared" si="0"/>
        <v>3.9993940708776683</v>
      </c>
      <c r="K27" s="5">
        <f t="shared" si="1"/>
        <v>4.0101476915256891</v>
      </c>
    </row>
    <row r="28" spans="1:11">
      <c r="E28" s="3">
        <v>26</v>
      </c>
      <c r="F28" s="4">
        <v>3.9952318202134816</v>
      </c>
      <c r="G28" s="5">
        <v>4.0057644858519419</v>
      </c>
      <c r="I28" s="3">
        <v>26</v>
      </c>
      <c r="J28" s="4">
        <f t="shared" si="0"/>
        <v>3.9952318202134816</v>
      </c>
      <c r="K28" s="5">
        <f t="shared" si="1"/>
        <v>4.0057644858519419</v>
      </c>
    </row>
    <row r="29" spans="1:11">
      <c r="E29" s="3">
        <v>27</v>
      </c>
      <c r="F29" s="4">
        <v>4.038914099606072</v>
      </c>
      <c r="G29" s="5">
        <v>4.0106942531829892</v>
      </c>
      <c r="I29" s="3">
        <v>27</v>
      </c>
      <c r="J29" s="4">
        <f t="shared" si="0"/>
        <v>4.038914099606072</v>
      </c>
      <c r="K29" s="5">
        <f t="shared" si="1"/>
        <v>4.0106942531829892</v>
      </c>
    </row>
    <row r="30" spans="1:11">
      <c r="E30" s="3">
        <v>28</v>
      </c>
      <c r="F30" s="4">
        <v>4.0036105736741039</v>
      </c>
      <c r="G30" s="5">
        <v>4.0002689090611145</v>
      </c>
      <c r="I30" s="3">
        <v>28</v>
      </c>
      <c r="J30" s="4">
        <f t="shared" si="0"/>
        <v>4.0036105736741039</v>
      </c>
      <c r="K30" s="5">
        <f t="shared" si="1"/>
        <v>4.0002689090611145</v>
      </c>
    </row>
    <row r="31" spans="1:11">
      <c r="E31" s="3">
        <v>29</v>
      </c>
      <c r="F31" s="4">
        <v>3.9756067852466135</v>
      </c>
      <c r="G31" s="5">
        <v>3.9823181259840115</v>
      </c>
      <c r="I31" s="3">
        <v>29</v>
      </c>
      <c r="J31" s="4">
        <f t="shared" si="0"/>
        <v>0</v>
      </c>
      <c r="K31" s="5">
        <f t="shared" si="1"/>
        <v>0</v>
      </c>
    </row>
    <row r="32" spans="1:11">
      <c r="E32" s="3">
        <v>30</v>
      </c>
      <c r="F32" s="4">
        <v>3.9303242092838051</v>
      </c>
      <c r="G32" s="5">
        <v>4.0049690087798915</v>
      </c>
      <c r="I32" s="3">
        <v>30</v>
      </c>
      <c r="J32" s="4">
        <f t="shared" si="0"/>
        <v>0</v>
      </c>
      <c r="K32" s="5">
        <f t="shared" si="1"/>
        <v>4.0049690087798915</v>
      </c>
    </row>
    <row r="33" spans="5:11">
      <c r="E33" s="3">
        <v>31</v>
      </c>
      <c r="F33" s="4">
        <v>3.9659484051273282</v>
      </c>
      <c r="G33" s="5">
        <v>3.9807913781658559</v>
      </c>
      <c r="I33" s="3">
        <v>31</v>
      </c>
      <c r="J33" s="4">
        <f t="shared" si="0"/>
        <v>0</v>
      </c>
      <c r="K33" s="5">
        <f t="shared" si="1"/>
        <v>0</v>
      </c>
    </row>
    <row r="34" spans="5:11">
      <c r="E34" s="3">
        <v>32</v>
      </c>
      <c r="F34" s="4">
        <v>4.0295137246829027</v>
      </c>
      <c r="G34" s="5">
        <v>3.9787123302579661</v>
      </c>
      <c r="I34" s="3">
        <v>32</v>
      </c>
      <c r="J34" s="4">
        <f t="shared" si="0"/>
        <v>4.0295137246829027</v>
      </c>
      <c r="K34" s="5">
        <f t="shared" si="1"/>
        <v>0</v>
      </c>
    </row>
    <row r="35" spans="5:11">
      <c r="E35" s="3">
        <v>33</v>
      </c>
      <c r="F35" s="4">
        <v>3.9333512554139549</v>
      </c>
      <c r="G35" s="5">
        <v>3.9951918261086616</v>
      </c>
      <c r="I35" s="3">
        <v>33</v>
      </c>
      <c r="J35" s="4">
        <f t="shared" si="0"/>
        <v>0</v>
      </c>
      <c r="K35" s="5">
        <f t="shared" si="1"/>
        <v>3.9951918261086616</v>
      </c>
    </row>
    <row r="36" spans="5:11">
      <c r="E36" s="3">
        <v>34</v>
      </c>
      <c r="F36" s="4">
        <v>3.9733920008751951</v>
      </c>
      <c r="G36" s="5">
        <v>4.0054052289732853</v>
      </c>
      <c r="I36" s="3">
        <v>34</v>
      </c>
      <c r="J36" s="4">
        <f t="shared" si="0"/>
        <v>0</v>
      </c>
      <c r="K36" s="5">
        <f t="shared" si="1"/>
        <v>4.0054052289732853</v>
      </c>
    </row>
    <row r="37" spans="5:11">
      <c r="E37" s="3">
        <v>35</v>
      </c>
      <c r="F37" s="4">
        <v>4.0095682843715261</v>
      </c>
      <c r="G37" s="5">
        <v>3.9880910243783365</v>
      </c>
      <c r="I37" s="3">
        <v>35</v>
      </c>
      <c r="J37" s="4">
        <f t="shared" si="0"/>
        <v>4.0095682843715261</v>
      </c>
      <c r="K37" s="5">
        <f t="shared" si="1"/>
        <v>0</v>
      </c>
    </row>
    <row r="38" spans="5:11">
      <c r="E38" s="3">
        <v>36</v>
      </c>
      <c r="F38" s="4">
        <v>4.0130906796392027</v>
      </c>
      <c r="G38" s="5">
        <v>4.0113956076848458</v>
      </c>
      <c r="I38" s="3">
        <v>36</v>
      </c>
      <c r="J38" s="4">
        <f t="shared" si="0"/>
        <v>4.0130906796392027</v>
      </c>
      <c r="K38" s="5">
        <f t="shared" si="1"/>
        <v>4.0113956076848458</v>
      </c>
    </row>
    <row r="39" spans="5:11">
      <c r="E39" s="3">
        <v>37</v>
      </c>
      <c r="F39" s="4">
        <v>3.9913051849705439</v>
      </c>
      <c r="G39" s="5">
        <v>4.0044196596508481</v>
      </c>
      <c r="I39" s="3">
        <v>37</v>
      </c>
      <c r="J39" s="4">
        <f t="shared" si="0"/>
        <v>3.9913051849705439</v>
      </c>
      <c r="K39" s="5">
        <f t="shared" si="1"/>
        <v>4.0044196596508481</v>
      </c>
    </row>
    <row r="40" spans="5:11">
      <c r="E40" s="3">
        <v>38</v>
      </c>
      <c r="F40" s="4">
        <v>4.0560786079763513</v>
      </c>
      <c r="G40" s="5">
        <v>4.0105942248514781</v>
      </c>
      <c r="I40" s="3">
        <v>38</v>
      </c>
      <c r="J40" s="4">
        <f t="shared" si="0"/>
        <v>4.0560786079763513</v>
      </c>
      <c r="K40" s="5">
        <f t="shared" si="1"/>
        <v>4.0105942248514781</v>
      </c>
    </row>
    <row r="41" spans="5:11">
      <c r="E41" s="3">
        <v>39</v>
      </c>
      <c r="F41" s="4">
        <v>3.9868207142857615</v>
      </c>
      <c r="G41" s="5">
        <v>4.0013937759714429</v>
      </c>
      <c r="I41" s="3">
        <v>39</v>
      </c>
      <c r="J41" s="4">
        <f t="shared" si="0"/>
        <v>0</v>
      </c>
      <c r="K41" s="5">
        <f t="shared" si="1"/>
        <v>4.0013937759714429</v>
      </c>
    </row>
    <row r="42" spans="5:11">
      <c r="E42" s="3">
        <v>40</v>
      </c>
      <c r="F42" s="4">
        <v>4.0049400078432678</v>
      </c>
      <c r="G42" s="5">
        <v>4.0162666623912644</v>
      </c>
      <c r="I42" s="3">
        <v>40</v>
      </c>
      <c r="J42" s="4">
        <f t="shared" si="0"/>
        <v>4.0049400078432678</v>
      </c>
      <c r="K42" s="5">
        <f t="shared" si="1"/>
        <v>4.0162666623912644</v>
      </c>
    </row>
    <row r="43" spans="5:11">
      <c r="E43" s="3">
        <v>41</v>
      </c>
      <c r="F43" s="4">
        <v>3.9894061872811957</v>
      </c>
      <c r="G43" s="5">
        <v>3.9869020631492353</v>
      </c>
      <c r="I43" s="3">
        <v>41</v>
      </c>
      <c r="J43" s="4">
        <f t="shared" si="0"/>
        <v>0</v>
      </c>
      <c r="K43" s="5">
        <f t="shared" si="1"/>
        <v>0</v>
      </c>
    </row>
    <row r="44" spans="5:11">
      <c r="E44" s="3">
        <v>42</v>
      </c>
      <c r="F44" s="4">
        <v>4.0088910670393387</v>
      </c>
      <c r="G44" s="5">
        <v>3.9880342344808919</v>
      </c>
      <c r="I44" s="3">
        <v>42</v>
      </c>
      <c r="J44" s="4">
        <f t="shared" si="0"/>
        <v>4.0088910670393387</v>
      </c>
      <c r="K44" s="5">
        <f t="shared" si="1"/>
        <v>0</v>
      </c>
    </row>
    <row r="45" spans="5:11">
      <c r="E45" s="3">
        <v>43</v>
      </c>
      <c r="F45" s="4">
        <v>4.013007664233708</v>
      </c>
      <c r="G45" s="5">
        <v>4.0031374396041608</v>
      </c>
      <c r="I45" s="3">
        <v>43</v>
      </c>
      <c r="J45" s="4">
        <f t="shared" si="0"/>
        <v>4.013007664233708</v>
      </c>
      <c r="K45" s="5">
        <f t="shared" si="1"/>
        <v>4.0031374396041608</v>
      </c>
    </row>
    <row r="46" spans="5:11">
      <c r="E46" s="3">
        <v>44</v>
      </c>
      <c r="F46" s="4">
        <v>4.0240630833016304</v>
      </c>
      <c r="G46" s="5">
        <v>3.9979554634394123</v>
      </c>
      <c r="I46" s="3">
        <v>44</v>
      </c>
      <c r="J46" s="4">
        <f t="shared" si="0"/>
        <v>4.0240630833016304</v>
      </c>
      <c r="K46" s="5">
        <f t="shared" si="1"/>
        <v>3.9979554634394123</v>
      </c>
    </row>
    <row r="47" spans="5:11">
      <c r="E47" s="3">
        <v>45</v>
      </c>
      <c r="F47" s="4">
        <v>4.0641102654737367</v>
      </c>
      <c r="G47" s="5">
        <v>4.0173377933422572</v>
      </c>
      <c r="I47" s="3">
        <v>45</v>
      </c>
      <c r="J47" s="4">
        <f t="shared" si="0"/>
        <v>4.0641102654737367</v>
      </c>
      <c r="K47" s="5">
        <f t="shared" si="1"/>
        <v>4.0173377933422572</v>
      </c>
    </row>
    <row r="48" spans="5:11">
      <c r="E48" s="3">
        <v>46</v>
      </c>
      <c r="F48" s="4">
        <v>4.0387573581825835</v>
      </c>
      <c r="G48" s="5">
        <v>3.9998328319679612</v>
      </c>
      <c r="I48" s="3">
        <v>46</v>
      </c>
      <c r="J48" s="4">
        <f t="shared" si="0"/>
        <v>4.0387573581825835</v>
      </c>
      <c r="K48" s="5">
        <f t="shared" si="1"/>
        <v>3.9998328319679612</v>
      </c>
    </row>
    <row r="49" spans="5:11">
      <c r="E49" s="3">
        <v>47</v>
      </c>
      <c r="F49" s="4">
        <v>4.0320505973027281</v>
      </c>
      <c r="G49" s="5">
        <v>3.9996196680512206</v>
      </c>
      <c r="I49" s="3">
        <v>47</v>
      </c>
      <c r="J49" s="4">
        <f t="shared" si="0"/>
        <v>4.0320505973027281</v>
      </c>
      <c r="K49" s="5">
        <f t="shared" si="1"/>
        <v>3.9996196680512206</v>
      </c>
    </row>
    <row r="50" spans="5:11">
      <c r="E50" s="3">
        <v>48</v>
      </c>
      <c r="F50" s="4">
        <v>4.0131889411912214</v>
      </c>
      <c r="G50" s="5">
        <v>4.0037629945855437</v>
      </c>
      <c r="I50" s="3">
        <v>48</v>
      </c>
      <c r="J50" s="4">
        <f t="shared" si="0"/>
        <v>4.0131889411912214</v>
      </c>
      <c r="K50" s="5">
        <f t="shared" si="1"/>
        <v>4.0037629945855437</v>
      </c>
    </row>
    <row r="51" spans="5:11">
      <c r="E51" s="3">
        <v>49</v>
      </c>
      <c r="F51" s="4">
        <v>4.0378235215305294</v>
      </c>
      <c r="G51" s="5">
        <v>4.0014676887906004</v>
      </c>
      <c r="I51" s="3">
        <v>49</v>
      </c>
      <c r="J51" s="4">
        <f t="shared" si="0"/>
        <v>4.0378235215305294</v>
      </c>
      <c r="K51" s="5">
        <f t="shared" si="1"/>
        <v>4.0014676887906004</v>
      </c>
    </row>
    <row r="52" spans="5:11">
      <c r="E52" s="3">
        <v>50</v>
      </c>
      <c r="F52" s="4">
        <v>4.0047460462810891</v>
      </c>
      <c r="G52" s="5">
        <v>3.9916856112506802</v>
      </c>
      <c r="I52" s="3">
        <v>50</v>
      </c>
      <c r="J52" s="4">
        <f t="shared" si="0"/>
        <v>4.0047460462810891</v>
      </c>
      <c r="K52" s="5">
        <f t="shared" si="1"/>
        <v>3.9916856112506802</v>
      </c>
    </row>
    <row r="53" spans="5:11">
      <c r="E53" s="3">
        <v>51</v>
      </c>
      <c r="F53" s="4">
        <v>4.0082464959742108</v>
      </c>
      <c r="G53" s="5">
        <v>4.0100391030289408</v>
      </c>
      <c r="I53" s="3">
        <v>51</v>
      </c>
      <c r="J53" s="4">
        <f t="shared" si="0"/>
        <v>4.0082464959742108</v>
      </c>
      <c r="K53" s="5">
        <f t="shared" si="1"/>
        <v>4.0100391030289408</v>
      </c>
    </row>
    <row r="54" spans="5:11">
      <c r="E54" s="3">
        <v>52</v>
      </c>
      <c r="F54" s="4">
        <v>4.0608159508281343</v>
      </c>
      <c r="G54" s="5">
        <v>3.9830944632021117</v>
      </c>
      <c r="I54" s="3">
        <v>52</v>
      </c>
      <c r="J54" s="4">
        <f t="shared" si="0"/>
        <v>4.0608159508281343</v>
      </c>
      <c r="K54" s="5">
        <f t="shared" si="1"/>
        <v>0</v>
      </c>
    </row>
    <row r="55" spans="5:11">
      <c r="E55" s="3">
        <v>53</v>
      </c>
      <c r="F55" s="4">
        <v>3.9735022628070888</v>
      </c>
      <c r="G55" s="5">
        <v>4.003313950691485</v>
      </c>
      <c r="I55" s="3">
        <v>53</v>
      </c>
      <c r="J55" s="4">
        <f t="shared" si="0"/>
        <v>0</v>
      </c>
      <c r="K55" s="5">
        <f t="shared" si="1"/>
        <v>4.003313950691485</v>
      </c>
    </row>
    <row r="56" spans="5:11">
      <c r="E56" s="3">
        <v>54</v>
      </c>
      <c r="F56" s="4">
        <v>3.9658182346443338</v>
      </c>
      <c r="G56" s="5">
        <v>4.0030099182305605</v>
      </c>
      <c r="I56" s="3">
        <v>54</v>
      </c>
      <c r="J56" s="4">
        <f t="shared" si="0"/>
        <v>0</v>
      </c>
      <c r="K56" s="5">
        <f t="shared" si="1"/>
        <v>4.0030099182305605</v>
      </c>
    </row>
    <row r="57" spans="5:11">
      <c r="E57" s="3">
        <v>55</v>
      </c>
      <c r="F57" s="4">
        <v>4.016386324565115</v>
      </c>
      <c r="G57" s="5">
        <v>3.9952138088194409</v>
      </c>
      <c r="I57" s="3">
        <v>55</v>
      </c>
      <c r="J57" s="4">
        <f t="shared" si="0"/>
        <v>4.016386324565115</v>
      </c>
      <c r="K57" s="5">
        <f t="shared" si="1"/>
        <v>3.9952138088194409</v>
      </c>
    </row>
    <row r="58" spans="5:11">
      <c r="E58" s="3">
        <v>56</v>
      </c>
      <c r="F58" s="4">
        <v>3.9952364531211266</v>
      </c>
      <c r="G58" s="5">
        <v>4.0035149984518421</v>
      </c>
      <c r="I58" s="3">
        <v>56</v>
      </c>
      <c r="J58" s="4">
        <f t="shared" si="0"/>
        <v>3.9952364531211266</v>
      </c>
      <c r="K58" s="5">
        <f t="shared" si="1"/>
        <v>4.0035149984518421</v>
      </c>
    </row>
    <row r="59" spans="5:11">
      <c r="E59" s="3">
        <v>57</v>
      </c>
      <c r="F59" s="4">
        <v>4.003284934827211</v>
      </c>
      <c r="G59" s="5">
        <v>4.0011935893682793</v>
      </c>
      <c r="I59" s="3">
        <v>57</v>
      </c>
      <c r="J59" s="4">
        <f t="shared" si="0"/>
        <v>4.003284934827211</v>
      </c>
      <c r="K59" s="5">
        <f t="shared" si="1"/>
        <v>4.0011935893682793</v>
      </c>
    </row>
    <row r="60" spans="5:11">
      <c r="E60" s="3">
        <v>58</v>
      </c>
      <c r="F60" s="4">
        <v>3.9685842007352594</v>
      </c>
      <c r="G60" s="5">
        <v>4.0018134808525865</v>
      </c>
      <c r="I60" s="3">
        <v>58</v>
      </c>
      <c r="J60" s="4">
        <f t="shared" si="0"/>
        <v>0</v>
      </c>
      <c r="K60" s="5">
        <f t="shared" si="1"/>
        <v>4.0018134808525865</v>
      </c>
    </row>
    <row r="61" spans="5:11">
      <c r="E61" s="3">
        <v>59</v>
      </c>
      <c r="F61" s="4">
        <v>4.07808637590768</v>
      </c>
      <c r="G61" s="5">
        <v>3.9971608407869446</v>
      </c>
      <c r="I61" s="3">
        <v>59</v>
      </c>
      <c r="J61" s="4">
        <f t="shared" si="0"/>
        <v>4.07808637590768</v>
      </c>
      <c r="K61" s="5">
        <f t="shared" si="1"/>
        <v>3.9971608407869446</v>
      </c>
    </row>
    <row r="62" spans="5:11">
      <c r="E62" s="3">
        <v>60</v>
      </c>
      <c r="F62" s="4">
        <v>3.8926029564882998</v>
      </c>
      <c r="G62" s="5">
        <v>4.0069464297736257</v>
      </c>
      <c r="I62" s="3">
        <v>60</v>
      </c>
      <c r="J62" s="4">
        <f t="shared" si="0"/>
        <v>0</v>
      </c>
      <c r="K62" s="5">
        <f t="shared" si="1"/>
        <v>4.0069464297736257</v>
      </c>
    </row>
    <row r="63" spans="5:11">
      <c r="E63" s="3">
        <v>61</v>
      </c>
      <c r="F63" s="4">
        <v>3.9757728766000691</v>
      </c>
      <c r="G63" s="5">
        <v>3.9918443688294594</v>
      </c>
      <c r="I63" s="3">
        <v>61</v>
      </c>
      <c r="J63" s="4">
        <f t="shared" si="0"/>
        <v>0</v>
      </c>
      <c r="K63" s="5">
        <f t="shared" si="1"/>
        <v>3.9918443688294594</v>
      </c>
    </row>
    <row r="64" spans="5:11">
      <c r="E64" s="3">
        <v>62</v>
      </c>
      <c r="F64" s="4">
        <v>3.9943265370190821</v>
      </c>
      <c r="G64" s="5">
        <v>4.0006837957014767</v>
      </c>
      <c r="I64" s="3">
        <v>62</v>
      </c>
      <c r="J64" s="4">
        <f t="shared" si="0"/>
        <v>3.9943265370190821</v>
      </c>
      <c r="K64" s="5">
        <f t="shared" si="1"/>
        <v>4.0006837957014767</v>
      </c>
    </row>
    <row r="65" spans="5:11">
      <c r="E65" s="3">
        <v>63</v>
      </c>
      <c r="F65" s="4">
        <v>4.0085442438777772</v>
      </c>
      <c r="G65" s="5">
        <v>3.9959410473121841</v>
      </c>
      <c r="I65" s="3">
        <v>63</v>
      </c>
      <c r="J65" s="4">
        <f t="shared" si="0"/>
        <v>4.0085442438777772</v>
      </c>
      <c r="K65" s="5">
        <f t="shared" si="1"/>
        <v>3.9959410473121841</v>
      </c>
    </row>
    <row r="66" spans="5:11">
      <c r="E66" s="3">
        <v>64</v>
      </c>
      <c r="F66" s="4">
        <v>4.028046429410443</v>
      </c>
      <c r="G66" s="5">
        <v>3.9944613734696688</v>
      </c>
      <c r="I66" s="3">
        <v>64</v>
      </c>
      <c r="J66" s="4">
        <f t="shared" si="0"/>
        <v>4.028046429410443</v>
      </c>
      <c r="K66" s="5">
        <f t="shared" si="1"/>
        <v>3.9944613734696688</v>
      </c>
    </row>
    <row r="67" spans="5:11">
      <c r="E67" s="3">
        <v>65</v>
      </c>
      <c r="F67" s="4">
        <v>3.9683515818097344</v>
      </c>
      <c r="G67" s="5">
        <v>4.0098788581626374</v>
      </c>
      <c r="I67" s="3">
        <v>65</v>
      </c>
      <c r="J67" s="4">
        <f t="shared" si="0"/>
        <v>0</v>
      </c>
      <c r="K67" s="5">
        <f t="shared" si="1"/>
        <v>4.0098788581626374</v>
      </c>
    </row>
    <row r="68" spans="5:11">
      <c r="E68" s="3">
        <v>66</v>
      </c>
      <c r="F68" s="4">
        <v>4.0040195830865617</v>
      </c>
      <c r="G68" s="5">
        <v>3.9989533591457342</v>
      </c>
      <c r="I68" s="3">
        <v>66</v>
      </c>
      <c r="J68" s="4">
        <f t="shared" ref="J68:J102" si="2">IF(F68&lt;$B$8, 0, F68)</f>
        <v>4.0040195830865617</v>
      </c>
      <c r="K68" s="5">
        <f t="shared" ref="K68:K102" si="3">IF(G68&lt;$B$8, 0, G68)</f>
        <v>3.9989533591457342</v>
      </c>
    </row>
    <row r="69" spans="5:11">
      <c r="E69" s="3">
        <v>67</v>
      </c>
      <c r="F69" s="4">
        <v>3.998124134890801</v>
      </c>
      <c r="G69" s="5">
        <v>3.9873279118669012</v>
      </c>
      <c r="I69" s="3">
        <v>67</v>
      </c>
      <c r="J69" s="4">
        <f t="shared" si="2"/>
        <v>3.998124134890801</v>
      </c>
      <c r="K69" s="5">
        <f t="shared" si="3"/>
        <v>0</v>
      </c>
    </row>
    <row r="70" spans="5:11">
      <c r="E70" s="3">
        <v>68</v>
      </c>
      <c r="F70" s="4">
        <v>3.9839091904604631</v>
      </c>
      <c r="G70" s="5">
        <v>4.0077090412071765</v>
      </c>
      <c r="I70" s="3">
        <v>68</v>
      </c>
      <c r="J70" s="4">
        <f t="shared" si="2"/>
        <v>0</v>
      </c>
      <c r="K70" s="5">
        <f t="shared" si="3"/>
        <v>4.0077090412071765</v>
      </c>
    </row>
    <row r="71" spans="5:11">
      <c r="E71" s="3">
        <v>69</v>
      </c>
      <c r="F71" s="4">
        <v>3.9969319953484561</v>
      </c>
      <c r="G71" s="5">
        <v>4.0039738310958208</v>
      </c>
      <c r="I71" s="3">
        <v>69</v>
      </c>
      <c r="J71" s="4">
        <f t="shared" si="2"/>
        <v>3.9969319953484561</v>
      </c>
      <c r="K71" s="5">
        <f t="shared" si="3"/>
        <v>4.0039738310958208</v>
      </c>
    </row>
    <row r="72" spans="5:11">
      <c r="E72" s="3">
        <v>70</v>
      </c>
      <c r="F72" s="4">
        <v>3.9970881050386509</v>
      </c>
      <c r="G72" s="5">
        <v>3.9910379753737866</v>
      </c>
      <c r="I72" s="3">
        <v>70</v>
      </c>
      <c r="J72" s="4">
        <f t="shared" si="2"/>
        <v>3.9970881050386509</v>
      </c>
      <c r="K72" s="5">
        <f t="shared" si="3"/>
        <v>3.9910379753737866</v>
      </c>
    </row>
    <row r="73" spans="5:11">
      <c r="E73" s="3">
        <v>71</v>
      </c>
      <c r="F73" s="4">
        <v>3.9649898319601866</v>
      </c>
      <c r="G73" s="5">
        <v>3.995992192924315</v>
      </c>
      <c r="I73" s="3">
        <v>71</v>
      </c>
      <c r="J73" s="4">
        <f t="shared" si="2"/>
        <v>0</v>
      </c>
      <c r="K73" s="5">
        <f t="shared" si="3"/>
        <v>3.995992192924315</v>
      </c>
    </row>
    <row r="74" spans="5:11">
      <c r="E74" s="3">
        <v>72</v>
      </c>
      <c r="F74" s="4">
        <v>4.0022607979169917</v>
      </c>
      <c r="G74" s="5">
        <v>4.0076726152461912</v>
      </c>
      <c r="I74" s="3">
        <v>72</v>
      </c>
      <c r="J74" s="4">
        <f t="shared" si="2"/>
        <v>4.0022607979169917</v>
      </c>
      <c r="K74" s="5">
        <f t="shared" si="3"/>
        <v>4.0076726152461912</v>
      </c>
    </row>
    <row r="75" spans="5:11">
      <c r="E75" s="3">
        <v>73</v>
      </c>
      <c r="F75" s="4">
        <v>3.9835515126671339</v>
      </c>
      <c r="G75" s="5">
        <v>3.9894542551996772</v>
      </c>
      <c r="I75" s="3">
        <v>73</v>
      </c>
      <c r="J75" s="4">
        <f t="shared" si="2"/>
        <v>0</v>
      </c>
      <c r="K75" s="5">
        <f t="shared" si="3"/>
        <v>0</v>
      </c>
    </row>
    <row r="76" spans="5:11">
      <c r="E76" s="3">
        <v>74</v>
      </c>
      <c r="F76" s="4">
        <v>4.0381808095977725</v>
      </c>
      <c r="G76" s="5">
        <v>4.0040457318484002</v>
      </c>
      <c r="I76" s="3">
        <v>74</v>
      </c>
      <c r="J76" s="4">
        <f t="shared" si="2"/>
        <v>4.0381808095977725</v>
      </c>
      <c r="K76" s="5">
        <f t="shared" si="3"/>
        <v>4.0040457318484002</v>
      </c>
    </row>
    <row r="77" spans="5:11">
      <c r="E77" s="3">
        <v>75</v>
      </c>
      <c r="F77" s="4">
        <v>4.0655730369892185</v>
      </c>
      <c r="G77" s="5">
        <v>3.9843938148846134</v>
      </c>
      <c r="I77" s="3">
        <v>75</v>
      </c>
      <c r="J77" s="4">
        <f t="shared" si="2"/>
        <v>4.0655730369892185</v>
      </c>
      <c r="K77" s="5">
        <f t="shared" si="3"/>
        <v>0</v>
      </c>
    </row>
    <row r="78" spans="5:11">
      <c r="E78" s="3">
        <v>76</v>
      </c>
      <c r="F78" s="4">
        <v>4.0159624088452057</v>
      </c>
      <c r="G78" s="5">
        <v>4.0057909675347076</v>
      </c>
      <c r="I78" s="3">
        <v>76</v>
      </c>
      <c r="J78" s="4">
        <f t="shared" si="2"/>
        <v>4.0159624088452057</v>
      </c>
      <c r="K78" s="5">
        <f t="shared" si="3"/>
        <v>4.0057909675347076</v>
      </c>
    </row>
    <row r="79" spans="5:11">
      <c r="E79" s="3">
        <v>77</v>
      </c>
      <c r="F79" s="4">
        <v>4.0130937696917677</v>
      </c>
      <c r="G79" s="5">
        <v>3.9934949515848337</v>
      </c>
      <c r="I79" s="3">
        <v>77</v>
      </c>
      <c r="J79" s="4">
        <f t="shared" si="2"/>
        <v>4.0130937696917677</v>
      </c>
      <c r="K79" s="5">
        <f t="shared" si="3"/>
        <v>3.9934949515848337</v>
      </c>
    </row>
    <row r="80" spans="5:11">
      <c r="E80" s="3">
        <v>78</v>
      </c>
      <c r="F80" s="4">
        <v>3.9405203635357164</v>
      </c>
      <c r="G80" s="5">
        <v>3.9937754695170331</v>
      </c>
      <c r="I80" s="3">
        <v>78</v>
      </c>
      <c r="J80" s="4">
        <f t="shared" si="2"/>
        <v>0</v>
      </c>
      <c r="K80" s="5">
        <f t="shared" si="3"/>
        <v>3.9937754695170331</v>
      </c>
    </row>
    <row r="81" spans="5:11">
      <c r="E81" s="3">
        <v>79</v>
      </c>
      <c r="F81" s="4">
        <v>3.9548443785888474</v>
      </c>
      <c r="G81" s="5">
        <v>3.9896988608202677</v>
      </c>
      <c r="I81" s="3">
        <v>79</v>
      </c>
      <c r="J81" s="4">
        <f t="shared" si="2"/>
        <v>0</v>
      </c>
      <c r="K81" s="5">
        <f t="shared" si="3"/>
        <v>0</v>
      </c>
    </row>
    <row r="82" spans="5:11">
      <c r="E82" s="3">
        <v>80</v>
      </c>
      <c r="F82" s="4">
        <v>4.0189128630875075</v>
      </c>
      <c r="G82" s="5">
        <v>3.9934336636448058</v>
      </c>
      <c r="I82" s="3">
        <v>80</v>
      </c>
      <c r="J82" s="4">
        <f t="shared" si="2"/>
        <v>4.0189128630875075</v>
      </c>
      <c r="K82" s="5">
        <f t="shared" si="3"/>
        <v>3.9934336636448058</v>
      </c>
    </row>
    <row r="83" spans="5:11">
      <c r="E83" s="3">
        <v>81</v>
      </c>
      <c r="F83" s="4">
        <v>4.0171779006748753</v>
      </c>
      <c r="G83" s="5">
        <v>3.9850000503924239</v>
      </c>
      <c r="I83" s="3">
        <v>81</v>
      </c>
      <c r="J83" s="4">
        <f t="shared" si="2"/>
        <v>4.0171779006748753</v>
      </c>
      <c r="K83" s="5">
        <f t="shared" si="3"/>
        <v>0</v>
      </c>
    </row>
    <row r="84" spans="5:11">
      <c r="E84" s="3">
        <v>82</v>
      </c>
      <c r="F84" s="4">
        <v>3.9703314483822241</v>
      </c>
      <c r="G84" s="5">
        <v>4.0033266742366296</v>
      </c>
      <c r="I84" s="3">
        <v>82</v>
      </c>
      <c r="J84" s="4">
        <f t="shared" si="2"/>
        <v>0</v>
      </c>
      <c r="K84" s="5">
        <f t="shared" si="3"/>
        <v>4.0033266742366296</v>
      </c>
    </row>
    <row r="85" spans="5:11">
      <c r="E85" s="3">
        <v>83</v>
      </c>
      <c r="F85" s="4">
        <v>3.96310486219673</v>
      </c>
      <c r="G85" s="5">
        <v>4.0047707501081611</v>
      </c>
      <c r="I85" s="3">
        <v>83</v>
      </c>
      <c r="J85" s="4">
        <f t="shared" si="2"/>
        <v>0</v>
      </c>
      <c r="K85" s="5">
        <f t="shared" si="3"/>
        <v>4.0047707501081611</v>
      </c>
    </row>
    <row r="86" spans="5:11">
      <c r="E86" s="3">
        <v>84</v>
      </c>
      <c r="F86" s="4">
        <v>3.9747013712113453</v>
      </c>
      <c r="G86" s="5">
        <v>3.995894242652831</v>
      </c>
      <c r="I86" s="3">
        <v>84</v>
      </c>
      <c r="J86" s="4">
        <f t="shared" si="2"/>
        <v>0</v>
      </c>
      <c r="K86" s="5">
        <f t="shared" si="3"/>
        <v>3.995894242652831</v>
      </c>
    </row>
    <row r="87" spans="5:11">
      <c r="E87" s="3">
        <v>85</v>
      </c>
      <c r="F87" s="4">
        <v>4.0080496764108098</v>
      </c>
      <c r="G87" s="5">
        <v>3.982394665292067</v>
      </c>
      <c r="I87" s="3">
        <v>85</v>
      </c>
      <c r="J87" s="4">
        <f t="shared" si="2"/>
        <v>4.0080496764108098</v>
      </c>
      <c r="K87" s="5">
        <f t="shared" si="3"/>
        <v>0</v>
      </c>
    </row>
    <row r="88" spans="5:11">
      <c r="E88" s="3">
        <v>86</v>
      </c>
      <c r="F88" s="4">
        <v>3.9606246254850874</v>
      </c>
      <c r="G88" s="5">
        <v>3.9800899561296239</v>
      </c>
      <c r="I88" s="3">
        <v>86</v>
      </c>
      <c r="J88" s="4">
        <f t="shared" si="2"/>
        <v>0</v>
      </c>
      <c r="K88" s="5">
        <f t="shared" si="3"/>
        <v>0</v>
      </c>
    </row>
    <row r="89" spans="5:11">
      <c r="E89" s="3">
        <v>87</v>
      </c>
      <c r="F89" s="4">
        <v>4.0008246600597124</v>
      </c>
      <c r="G89" s="5">
        <v>3.9985612114392985</v>
      </c>
      <c r="I89" s="3">
        <v>87</v>
      </c>
      <c r="J89" s="4">
        <f t="shared" si="2"/>
        <v>4.0008246600597124</v>
      </c>
      <c r="K89" s="5">
        <f t="shared" si="3"/>
        <v>3.9985612114392985</v>
      </c>
    </row>
    <row r="90" spans="5:11">
      <c r="E90" s="3">
        <v>88</v>
      </c>
      <c r="F90" s="4">
        <v>4.0235091973620003</v>
      </c>
      <c r="G90" s="5">
        <v>3.9855949855817543</v>
      </c>
      <c r="I90" s="3">
        <v>88</v>
      </c>
      <c r="J90" s="4">
        <f t="shared" si="2"/>
        <v>4.0235091973620003</v>
      </c>
      <c r="K90" s="5">
        <f t="shared" si="3"/>
        <v>0</v>
      </c>
    </row>
    <row r="91" spans="5:11">
      <c r="E91" s="3">
        <v>89</v>
      </c>
      <c r="F91" s="4">
        <v>3.9895824314706201</v>
      </c>
      <c r="G91" s="5">
        <v>4.00355839541192</v>
      </c>
      <c r="I91" s="3">
        <v>89</v>
      </c>
      <c r="J91" s="4">
        <f t="shared" si="2"/>
        <v>0</v>
      </c>
      <c r="K91" s="5">
        <f t="shared" si="3"/>
        <v>4.00355839541192</v>
      </c>
    </row>
    <row r="92" spans="5:11">
      <c r="E92" s="3">
        <v>90</v>
      </c>
      <c r="F92" s="4">
        <v>4.0259266844168824</v>
      </c>
      <c r="G92" s="5">
        <v>4.0135235670064908</v>
      </c>
      <c r="I92" s="3">
        <v>90</v>
      </c>
      <c r="J92" s="4">
        <f t="shared" si="2"/>
        <v>4.0259266844168824</v>
      </c>
      <c r="K92" s="5">
        <f t="shared" si="3"/>
        <v>4.0135235670064908</v>
      </c>
    </row>
    <row r="93" spans="5:11">
      <c r="E93" s="3">
        <v>91</v>
      </c>
      <c r="F93" s="4">
        <v>3.9713573056964488</v>
      </c>
      <c r="G93" s="5">
        <v>3.9984270799346411</v>
      </c>
      <c r="I93" s="3">
        <v>91</v>
      </c>
      <c r="J93" s="4">
        <f t="shared" si="2"/>
        <v>0</v>
      </c>
      <c r="K93" s="5">
        <f t="shared" si="3"/>
        <v>3.9984270799346411</v>
      </c>
    </row>
    <row r="94" spans="5:11">
      <c r="E94" s="3">
        <v>92</v>
      </c>
      <c r="F94" s="4">
        <v>3.9837403692309916</v>
      </c>
      <c r="G94" s="5">
        <v>4.0010675040734967</v>
      </c>
      <c r="I94" s="3">
        <v>92</v>
      </c>
      <c r="J94" s="4">
        <f t="shared" si="2"/>
        <v>0</v>
      </c>
      <c r="K94" s="5">
        <f t="shared" si="3"/>
        <v>4.0010675040734967</v>
      </c>
    </row>
    <row r="95" spans="5:11">
      <c r="E95" s="3">
        <v>93</v>
      </c>
      <c r="F95" s="4">
        <v>4.0190403616552626</v>
      </c>
      <c r="G95" s="5">
        <v>3.9940467876905545</v>
      </c>
      <c r="I95" s="3">
        <v>93</v>
      </c>
      <c r="J95" s="4">
        <f t="shared" si="2"/>
        <v>4.0190403616552626</v>
      </c>
      <c r="K95" s="5">
        <f t="shared" si="3"/>
        <v>3.9940467876905545</v>
      </c>
    </row>
    <row r="96" spans="5:11">
      <c r="E96" s="3">
        <v>94</v>
      </c>
      <c r="F96" s="4">
        <v>3.9915690647673192</v>
      </c>
      <c r="G96" s="5">
        <v>3.9837100812284061</v>
      </c>
      <c r="I96" s="3">
        <v>94</v>
      </c>
      <c r="J96" s="4">
        <f t="shared" si="2"/>
        <v>3.9915690647673192</v>
      </c>
      <c r="K96" s="5">
        <f t="shared" si="3"/>
        <v>0</v>
      </c>
    </row>
    <row r="97" spans="5:11">
      <c r="E97" s="3">
        <v>95</v>
      </c>
      <c r="F97" s="4">
        <v>3.9967866457210692</v>
      </c>
      <c r="G97" s="5">
        <v>3.9966102436897493</v>
      </c>
      <c r="I97" s="3">
        <v>95</v>
      </c>
      <c r="J97" s="4">
        <f t="shared" si="2"/>
        <v>3.9967866457210692</v>
      </c>
      <c r="K97" s="5">
        <f t="shared" si="3"/>
        <v>3.9966102436897493</v>
      </c>
    </row>
    <row r="98" spans="5:11">
      <c r="E98" s="3">
        <v>96</v>
      </c>
      <c r="F98" s="4">
        <v>4.0366513323981383</v>
      </c>
      <c r="G98" s="5">
        <v>3.9855045866059111</v>
      </c>
      <c r="I98" s="3">
        <v>96</v>
      </c>
      <c r="J98" s="4">
        <f t="shared" si="2"/>
        <v>4.0366513323981383</v>
      </c>
      <c r="K98" s="5">
        <f t="shared" si="3"/>
        <v>0</v>
      </c>
    </row>
    <row r="99" spans="5:11">
      <c r="E99" s="3">
        <v>97</v>
      </c>
      <c r="F99" s="4">
        <v>4.0045492890124752</v>
      </c>
      <c r="G99" s="5">
        <v>3.9893264274106319</v>
      </c>
      <c r="I99" s="3">
        <v>97</v>
      </c>
      <c r="J99" s="4">
        <f t="shared" si="2"/>
        <v>4.0045492890124752</v>
      </c>
      <c r="K99" s="5">
        <f t="shared" si="3"/>
        <v>0</v>
      </c>
    </row>
    <row r="100" spans="5:11">
      <c r="E100" s="3">
        <v>98</v>
      </c>
      <c r="F100" s="4">
        <v>3.9877848669221114</v>
      </c>
      <c r="G100" s="5">
        <v>4.0071917670334489</v>
      </c>
      <c r="I100" s="3">
        <v>98</v>
      </c>
      <c r="J100" s="4">
        <f t="shared" si="2"/>
        <v>0</v>
      </c>
      <c r="K100" s="5">
        <f t="shared" si="3"/>
        <v>4.0071917670334489</v>
      </c>
    </row>
    <row r="101" spans="5:11">
      <c r="E101" s="3">
        <v>99</v>
      </c>
      <c r="F101" s="4">
        <v>3.9894075550472343</v>
      </c>
      <c r="G101" s="5">
        <v>3.9996386805903095</v>
      </c>
      <c r="I101" s="3">
        <v>99</v>
      </c>
      <c r="J101" s="4">
        <f t="shared" si="2"/>
        <v>0</v>
      </c>
      <c r="K101" s="5">
        <f t="shared" si="3"/>
        <v>3.9996386805903095</v>
      </c>
    </row>
    <row r="102" spans="5:11">
      <c r="E102" s="3">
        <v>100</v>
      </c>
      <c r="F102" s="4">
        <v>4.0396047652378284</v>
      </c>
      <c r="G102" s="5">
        <v>4.0105872111418597</v>
      </c>
      <c r="I102" s="3">
        <v>100</v>
      </c>
      <c r="J102" s="4">
        <f t="shared" si="2"/>
        <v>4.0396047652378284</v>
      </c>
      <c r="K102" s="5">
        <f t="shared" si="3"/>
        <v>4.0105872111418597</v>
      </c>
    </row>
  </sheetData>
  <mergeCells count="2"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2020-01-04T16:45:48Z</dcterms:created>
  <dcterms:modified xsi:type="dcterms:W3CDTF">2020-01-04T18:04:42Z</dcterms:modified>
</cp:coreProperties>
</file>