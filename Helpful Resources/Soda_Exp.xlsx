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5_ Model Specifications/"/>
    </mc:Choice>
  </mc:AlternateContent>
  <xr:revisionPtr revIDLastSave="0" documentId="13_ncr:1_{78BB88FF-D8F9-204A-8608-DF61C6B5FE8F}" xr6:coauthVersionLast="45" xr6:coauthVersionMax="45" xr10:uidLastSave="{00000000-0000-0000-0000-000000000000}"/>
  <bookViews>
    <workbookView xWindow="0" yWindow="460" windowWidth="28800" windowHeight="16740" activeTab="1" xr2:uid="{00000000-000D-0000-FFFF-FFFF00000000}"/>
  </bookViews>
  <sheets>
    <sheet name="Soda_Exp" sheetId="1" r:id="rId1"/>
    <sheet name="Sheet1" sheetId="2" r:id="rId2"/>
  </sheets>
  <definedNames>
    <definedName name="_xlnm._FilterDatabase" localSheetId="0" hidden="1">Soda_Exp!$A$1:$J$41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41" i="1" l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<sst xmlns="http://schemas.openxmlformats.org/spreadsheetml/2006/main" count="136" uniqueCount="41">
  <si>
    <t>Soda Expenditures</t>
  </si>
  <si>
    <t>Income</t>
  </si>
  <si>
    <t>Age</t>
  </si>
  <si>
    <t>Gender</t>
  </si>
  <si>
    <t>E1</t>
  </si>
  <si>
    <t>E2</t>
  </si>
  <si>
    <t>E3</t>
  </si>
  <si>
    <t>E4</t>
  </si>
  <si>
    <t>=1 if female, =0 if male</t>
  </si>
  <si>
    <t>=1 if highest level of education is less than high school, 0 otherwise</t>
  </si>
  <si>
    <t>=1 if highest level of education is some college, 0 otherwise</t>
  </si>
  <si>
    <t>=1 if highest level of education is college degree, 0 otherwise</t>
  </si>
  <si>
    <t>=1 if highest level of education is high school degree, 0 otherwise</t>
  </si>
  <si>
    <t>Soda Expenditures in USD</t>
  </si>
  <si>
    <t>Income in USD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</si>
  <si>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</si>
  <si>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</si>
  <si>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</si>
  <si>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</si>
  <si>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</si>
  <si>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</si>
  <si>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</si>
  <si>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</si>
  <si>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</si>
  <si>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</si>
  <si>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</si>
  <si>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</si>
  <si>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</si>
  <si>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</si>
  <si>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</si>
  <si>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</si>
  <si>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</si>
  <si>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</si>
  <si>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</si>
  <si>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</si>
  <si>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</si>
  <si>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</si>
  <si>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</si>
  <si>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</si>
  <si>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lexp</t>
  </si>
  <si>
    <t>linc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</si>
</sst>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0" xfId="0" quotePrefix="1"/>
    <xf numFmtId="0" fontId="1" fillId="0" borderId="0" xfId="0" quotePrefix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41"/>
  <sheetViews>
    <sheetView workbookViewId="0">
      <selection sqref="A1:J41"/>
    </sheetView>
  </sheetViews>
  <sheetFormatPr baseColWidth="10" defaultColWidth="8.83203125" defaultRowHeight="15" x14ac:dyDescent="0.2"/>
  <cols>
    <col min="1" max="8" width="8.83203125" customWidth="1"/>
  </cols>
  <sheetData>
    <row r="1" spans="1:20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</v>
      </c>
      <c r="H1" t="s">
        <v>2</v>
      </c>
      <c r="I1" t="s">
        <v>39</v>
      </c>
      <c r="J1" t="s">
        <v>40</v>
      </c>
      <c r="S1" t="s">
        <v>4</v>
      </c>
      <c r="T1" s="2" t="s">
        <v>9</v>
      </c>
    </row>
    <row r="2" spans="1:20" x14ac:dyDescent="0.2">
      <c r="A2">
        <v>109</v>
      </c>
      <c r="B2">
        <v>1</v>
      </c>
      <c r="C2">
        <v>0</v>
      </c>
      <c r="D2">
        <v>0</v>
      </c>
      <c r="E2">
        <v>0</v>
      </c>
      <c r="F2">
        <v>1</v>
      </c>
      <c r="G2">
        <v>15000</v>
      </c>
      <c r="H2">
        <v>25</v>
      </c>
      <c r="I2">
        <f>LN(A2)</f>
        <v>4.6913478822291435</v>
      </c>
      <c r="J2">
        <f>LN(G2)</f>
        <v>9.6158054800843473</v>
      </c>
      <c r="S2" t="s">
        <v>5</v>
      </c>
      <c r="T2" s="2" t="s">
        <v>12</v>
      </c>
    </row>
    <row r="3" spans="1:20" hidden="1" x14ac:dyDescent="0.2">
      <c r="A3">
        <v>0</v>
      </c>
      <c r="B3">
        <v>1</v>
      </c>
      <c r="C3">
        <v>0</v>
      </c>
      <c r="D3">
        <v>0</v>
      </c>
      <c r="E3">
        <v>0</v>
      </c>
      <c r="F3">
        <v>1</v>
      </c>
      <c r="G3">
        <v>30000</v>
      </c>
      <c r="H3">
        <v>45</v>
      </c>
      <c r="I3" t="e">
        <f t="shared" ref="I3:I41" si="0">LN(A3)</f>
        <v>#NUM!</v>
      </c>
      <c r="J3">
        <f t="shared" ref="J3:J41" si="1">LN(G3)</f>
        <v>10.308952660644293</v>
      </c>
      <c r="S3" t="s">
        <v>6</v>
      </c>
      <c r="T3" s="3" t="s">
        <v>10</v>
      </c>
    </row>
    <row r="4" spans="1:20" hidden="1" x14ac:dyDescent="0.2">
      <c r="A4">
        <v>0</v>
      </c>
      <c r="B4">
        <v>1</v>
      </c>
      <c r="C4">
        <v>0</v>
      </c>
      <c r="D4">
        <v>0</v>
      </c>
      <c r="E4">
        <v>0</v>
      </c>
      <c r="F4">
        <v>1</v>
      </c>
      <c r="G4">
        <v>12000</v>
      </c>
      <c r="H4">
        <v>20</v>
      </c>
      <c r="I4" t="e">
        <f t="shared" si="0"/>
        <v>#NUM!</v>
      </c>
      <c r="J4">
        <f t="shared" si="1"/>
        <v>9.3926619287701367</v>
      </c>
      <c r="S4" t="s">
        <v>7</v>
      </c>
      <c r="T4" s="3" t="s">
        <v>11</v>
      </c>
    </row>
    <row r="5" spans="1:20" x14ac:dyDescent="0.2">
      <c r="A5">
        <v>108</v>
      </c>
      <c r="B5">
        <v>1</v>
      </c>
      <c r="C5">
        <v>0</v>
      </c>
      <c r="D5">
        <v>0</v>
      </c>
      <c r="E5">
        <v>0</v>
      </c>
      <c r="F5">
        <v>1</v>
      </c>
      <c r="G5">
        <v>20000</v>
      </c>
      <c r="H5">
        <v>28</v>
      </c>
      <c r="I5">
        <f t="shared" si="0"/>
        <v>4.6821312271242199</v>
      </c>
      <c r="J5">
        <f t="shared" si="1"/>
        <v>9.9034875525361272</v>
      </c>
    </row>
    <row r="6" spans="1:20" x14ac:dyDescent="0.2">
      <c r="A6">
        <v>220</v>
      </c>
      <c r="B6">
        <v>1</v>
      </c>
      <c r="C6">
        <v>1</v>
      </c>
      <c r="D6">
        <v>0</v>
      </c>
      <c r="E6">
        <v>0</v>
      </c>
      <c r="F6">
        <v>0</v>
      </c>
      <c r="G6">
        <v>15000</v>
      </c>
      <c r="H6">
        <v>25</v>
      </c>
      <c r="I6">
        <f t="shared" si="0"/>
        <v>5.393627546352362</v>
      </c>
      <c r="J6">
        <f t="shared" si="1"/>
        <v>9.6158054800843473</v>
      </c>
      <c r="S6" t="s">
        <v>3</v>
      </c>
      <c r="T6" s="2" t="s">
        <v>8</v>
      </c>
    </row>
    <row r="7" spans="1:20" x14ac:dyDescent="0.2">
      <c r="A7">
        <v>189</v>
      </c>
      <c r="B7">
        <v>1</v>
      </c>
      <c r="C7">
        <v>1</v>
      </c>
      <c r="D7">
        <v>0</v>
      </c>
      <c r="E7">
        <v>0</v>
      </c>
      <c r="F7">
        <v>0</v>
      </c>
      <c r="G7">
        <v>30000</v>
      </c>
      <c r="H7">
        <v>35</v>
      </c>
      <c r="I7">
        <f t="shared" si="0"/>
        <v>5.2417470150596426</v>
      </c>
      <c r="J7">
        <f t="shared" si="1"/>
        <v>10.308952660644293</v>
      </c>
    </row>
    <row r="8" spans="1:20" x14ac:dyDescent="0.2">
      <c r="A8">
        <v>64</v>
      </c>
      <c r="B8">
        <v>1</v>
      </c>
      <c r="C8">
        <v>1</v>
      </c>
      <c r="D8">
        <v>0</v>
      </c>
      <c r="E8">
        <v>0</v>
      </c>
      <c r="F8">
        <v>0</v>
      </c>
      <c r="G8">
        <v>12000</v>
      </c>
      <c r="H8">
        <v>40</v>
      </c>
      <c r="I8">
        <f t="shared" si="0"/>
        <v>4.1588830833596715</v>
      </c>
      <c r="J8">
        <f t="shared" si="1"/>
        <v>9.3926619287701367</v>
      </c>
      <c r="S8" t="s">
        <v>13</v>
      </c>
    </row>
    <row r="9" spans="1:20" x14ac:dyDescent="0.2">
      <c r="A9">
        <v>262</v>
      </c>
      <c r="B9">
        <v>1</v>
      </c>
      <c r="C9">
        <v>1</v>
      </c>
      <c r="D9">
        <v>0</v>
      </c>
      <c r="E9">
        <v>0</v>
      </c>
      <c r="F9">
        <v>0</v>
      </c>
      <c r="G9">
        <v>12000</v>
      </c>
      <c r="H9">
        <v>22</v>
      </c>
      <c r="I9">
        <f t="shared" si="0"/>
        <v>5.5683445037610966</v>
      </c>
      <c r="J9">
        <f t="shared" si="1"/>
        <v>9.3926619287701367</v>
      </c>
    </row>
    <row r="10" spans="1:20" x14ac:dyDescent="0.2">
      <c r="A10">
        <v>64</v>
      </c>
      <c r="B10">
        <v>1</v>
      </c>
      <c r="C10">
        <v>1</v>
      </c>
      <c r="D10">
        <v>0</v>
      </c>
      <c r="E10">
        <v>0</v>
      </c>
      <c r="F10">
        <v>0</v>
      </c>
      <c r="G10">
        <v>28000</v>
      </c>
      <c r="H10">
        <v>30</v>
      </c>
      <c r="I10">
        <f t="shared" si="0"/>
        <v>4.1588830833596715</v>
      </c>
      <c r="J10">
        <f t="shared" si="1"/>
        <v>10.239959789157341</v>
      </c>
      <c r="S10" t="s">
        <v>14</v>
      </c>
    </row>
    <row r="11" spans="1:20" x14ac:dyDescent="0.2">
      <c r="A11">
        <v>35</v>
      </c>
      <c r="B11">
        <v>1</v>
      </c>
      <c r="C11">
        <v>1</v>
      </c>
      <c r="D11">
        <v>0</v>
      </c>
      <c r="E11">
        <v>0</v>
      </c>
      <c r="F11">
        <v>0</v>
      </c>
      <c r="G11">
        <v>22000</v>
      </c>
      <c r="H11">
        <v>21</v>
      </c>
      <c r="I11">
        <f t="shared" si="0"/>
        <v>3.5553480614894135</v>
      </c>
      <c r="J11">
        <f t="shared" si="1"/>
        <v>9.9987977323404529</v>
      </c>
    </row>
    <row r="12" spans="1:20" x14ac:dyDescent="0.2">
      <c r="A12">
        <v>94</v>
      </c>
      <c r="B12">
        <v>1</v>
      </c>
      <c r="C12">
        <v>1</v>
      </c>
      <c r="D12">
        <v>0</v>
      </c>
      <c r="E12">
        <v>0</v>
      </c>
      <c r="F12">
        <v>0</v>
      </c>
      <c r="G12">
        <v>44000</v>
      </c>
      <c r="H12">
        <v>40</v>
      </c>
      <c r="I12">
        <f t="shared" si="0"/>
        <v>4.5432947822700038</v>
      </c>
      <c r="J12">
        <f t="shared" si="1"/>
        <v>10.691944912900398</v>
      </c>
    </row>
    <row r="13" spans="1:20" x14ac:dyDescent="0.2">
      <c r="A13">
        <v>71</v>
      </c>
      <c r="B13">
        <v>1</v>
      </c>
      <c r="C13">
        <v>0</v>
      </c>
      <c r="D13">
        <v>1</v>
      </c>
      <c r="E13">
        <v>0</v>
      </c>
      <c r="F13">
        <v>0</v>
      </c>
      <c r="G13">
        <v>10000</v>
      </c>
      <c r="H13">
        <v>21</v>
      </c>
      <c r="I13">
        <f t="shared" si="0"/>
        <v>4.2626798770413155</v>
      </c>
      <c r="J13">
        <f t="shared" si="1"/>
        <v>9.2103403719761836</v>
      </c>
    </row>
    <row r="14" spans="1:20" x14ac:dyDescent="0.2">
      <c r="A14">
        <v>403</v>
      </c>
      <c r="B14">
        <v>1</v>
      </c>
      <c r="C14">
        <v>0</v>
      </c>
      <c r="D14">
        <v>1</v>
      </c>
      <c r="E14">
        <v>0</v>
      </c>
      <c r="F14">
        <v>0</v>
      </c>
      <c r="G14">
        <v>222000</v>
      </c>
      <c r="H14">
        <v>45</v>
      </c>
      <c r="I14">
        <f t="shared" si="0"/>
        <v>5.9989365619466826</v>
      </c>
      <c r="J14">
        <f t="shared" si="1"/>
        <v>12.310432660854417</v>
      </c>
    </row>
    <row r="15" spans="1:20" x14ac:dyDescent="0.2">
      <c r="A15">
        <v>41</v>
      </c>
      <c r="B15">
        <v>1</v>
      </c>
      <c r="C15">
        <v>0</v>
      </c>
      <c r="D15">
        <v>1</v>
      </c>
      <c r="E15">
        <v>0</v>
      </c>
      <c r="F15">
        <v>0</v>
      </c>
      <c r="G15">
        <v>32000</v>
      </c>
      <c r="H15">
        <v>36</v>
      </c>
      <c r="I15">
        <f t="shared" si="0"/>
        <v>3.713572066704308</v>
      </c>
      <c r="J15">
        <f t="shared" si="1"/>
        <v>10.373491181781864</v>
      </c>
    </row>
    <row r="16" spans="1:20" x14ac:dyDescent="0.2">
      <c r="A16">
        <v>10</v>
      </c>
      <c r="B16">
        <v>1</v>
      </c>
      <c r="C16">
        <v>0</v>
      </c>
      <c r="D16">
        <v>1</v>
      </c>
      <c r="E16">
        <v>0</v>
      </c>
      <c r="F16">
        <v>0</v>
      </c>
      <c r="G16">
        <v>45000</v>
      </c>
      <c r="H16">
        <v>36</v>
      </c>
      <c r="I16">
        <f t="shared" si="0"/>
        <v>2.3025850929940459</v>
      </c>
      <c r="J16">
        <f t="shared" si="1"/>
        <v>10.714417768752456</v>
      </c>
    </row>
    <row r="17" spans="1:10" x14ac:dyDescent="0.2">
      <c r="A17">
        <v>110</v>
      </c>
      <c r="B17">
        <v>1</v>
      </c>
      <c r="C17">
        <v>0</v>
      </c>
      <c r="D17">
        <v>1</v>
      </c>
      <c r="E17">
        <v>0</v>
      </c>
      <c r="F17">
        <v>0</v>
      </c>
      <c r="G17">
        <v>55000</v>
      </c>
      <c r="H17">
        <v>40</v>
      </c>
      <c r="I17">
        <f t="shared" si="0"/>
        <v>4.7004803657924166</v>
      </c>
      <c r="J17">
        <f t="shared" si="1"/>
        <v>10.915088464214607</v>
      </c>
    </row>
    <row r="18" spans="1:10" x14ac:dyDescent="0.2">
      <c r="A18">
        <v>239</v>
      </c>
      <c r="B18">
        <v>1</v>
      </c>
      <c r="C18">
        <v>0</v>
      </c>
      <c r="D18">
        <v>1</v>
      </c>
      <c r="E18">
        <v>0</v>
      </c>
      <c r="F18">
        <v>0</v>
      </c>
      <c r="G18">
        <v>29000</v>
      </c>
      <c r="H18">
        <v>23</v>
      </c>
      <c r="I18">
        <f t="shared" si="0"/>
        <v>5.476463551931511</v>
      </c>
      <c r="J18">
        <f t="shared" si="1"/>
        <v>10.275051108968611</v>
      </c>
    </row>
    <row r="19" spans="1:10" x14ac:dyDescent="0.2">
      <c r="A19">
        <v>63</v>
      </c>
      <c r="B19">
        <v>1</v>
      </c>
      <c r="C19">
        <v>0</v>
      </c>
      <c r="D19">
        <v>1</v>
      </c>
      <c r="E19">
        <v>0</v>
      </c>
      <c r="F19">
        <v>0</v>
      </c>
      <c r="G19">
        <v>39000</v>
      </c>
      <c r="H19">
        <v>32</v>
      </c>
      <c r="I19">
        <f t="shared" si="0"/>
        <v>4.1431347263915326</v>
      </c>
      <c r="J19">
        <f t="shared" si="1"/>
        <v>10.571316925111784</v>
      </c>
    </row>
    <row r="20" spans="1:10" hidden="1" x14ac:dyDescent="0.2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  <c r="G20">
        <v>70000</v>
      </c>
      <c r="H20">
        <v>52</v>
      </c>
      <c r="I20" t="e">
        <f t="shared" si="0"/>
        <v>#NUM!</v>
      </c>
      <c r="J20">
        <f t="shared" si="1"/>
        <v>11.156250521031495</v>
      </c>
    </row>
    <row r="21" spans="1:10" x14ac:dyDescent="0.2">
      <c r="A21">
        <v>106</v>
      </c>
      <c r="B21">
        <v>1</v>
      </c>
      <c r="C21">
        <v>0</v>
      </c>
      <c r="D21">
        <v>0</v>
      </c>
      <c r="E21">
        <v>1</v>
      </c>
      <c r="F21">
        <v>0</v>
      </c>
      <c r="G21">
        <v>55000</v>
      </c>
      <c r="H21">
        <v>30</v>
      </c>
      <c r="I21">
        <f t="shared" si="0"/>
        <v>4.6634390941120669</v>
      </c>
      <c r="J21">
        <f t="shared" si="1"/>
        <v>10.915088464214607</v>
      </c>
    </row>
    <row r="22" spans="1:10" hidden="1" x14ac:dyDescent="0.2">
      <c r="A22">
        <v>0</v>
      </c>
      <c r="B22">
        <v>1</v>
      </c>
      <c r="C22">
        <v>0</v>
      </c>
      <c r="D22">
        <v>0</v>
      </c>
      <c r="E22" s="1">
        <v>0</v>
      </c>
      <c r="F22">
        <v>1</v>
      </c>
      <c r="G22">
        <v>90000</v>
      </c>
      <c r="H22">
        <v>45</v>
      </c>
      <c r="I22" t="e">
        <f t="shared" si="0"/>
        <v>#NUM!</v>
      </c>
      <c r="J22">
        <f t="shared" si="1"/>
        <v>11.407564949312402</v>
      </c>
    </row>
    <row r="23" spans="1:10" x14ac:dyDescent="0.2">
      <c r="A23">
        <v>141</v>
      </c>
      <c r="B23">
        <v>0</v>
      </c>
      <c r="C23">
        <v>0</v>
      </c>
      <c r="D23">
        <v>0</v>
      </c>
      <c r="E23" s="1">
        <v>0</v>
      </c>
      <c r="F23">
        <v>1</v>
      </c>
      <c r="G23">
        <v>6000</v>
      </c>
      <c r="H23">
        <v>32</v>
      </c>
      <c r="I23">
        <f t="shared" si="0"/>
        <v>4.9487598903781684</v>
      </c>
      <c r="J23">
        <f t="shared" si="1"/>
        <v>8.6995147482101913</v>
      </c>
    </row>
    <row r="24" spans="1:10" x14ac:dyDescent="0.2">
      <c r="A24">
        <v>299</v>
      </c>
      <c r="B24">
        <v>0</v>
      </c>
      <c r="C24">
        <v>0</v>
      </c>
      <c r="D24">
        <v>0</v>
      </c>
      <c r="E24" s="1">
        <v>0</v>
      </c>
      <c r="F24">
        <v>1</v>
      </c>
      <c r="G24">
        <v>18000</v>
      </c>
      <c r="H24">
        <v>20</v>
      </c>
      <c r="I24">
        <f t="shared" si="0"/>
        <v>5.7004435733906869</v>
      </c>
      <c r="J24">
        <f t="shared" si="1"/>
        <v>9.7981270368783022</v>
      </c>
    </row>
    <row r="25" spans="1:10" x14ac:dyDescent="0.2">
      <c r="A25">
        <v>148</v>
      </c>
      <c r="B25">
        <v>0</v>
      </c>
      <c r="C25">
        <v>0</v>
      </c>
      <c r="D25">
        <v>0</v>
      </c>
      <c r="E25" s="1">
        <v>0</v>
      </c>
      <c r="F25">
        <v>1</v>
      </c>
      <c r="G25">
        <v>55000</v>
      </c>
      <c r="H25">
        <v>55</v>
      </c>
      <c r="I25">
        <f t="shared" si="0"/>
        <v>4.9972122737641147</v>
      </c>
      <c r="J25">
        <f t="shared" si="1"/>
        <v>10.915088464214607</v>
      </c>
    </row>
    <row r="26" spans="1:10" x14ac:dyDescent="0.2">
      <c r="A26">
        <v>424</v>
      </c>
      <c r="B26">
        <v>0</v>
      </c>
      <c r="C26">
        <v>1</v>
      </c>
      <c r="D26">
        <v>0</v>
      </c>
      <c r="E26" s="1">
        <v>0</v>
      </c>
      <c r="F26">
        <v>0</v>
      </c>
      <c r="G26">
        <v>10000</v>
      </c>
      <c r="H26">
        <v>18</v>
      </c>
      <c r="I26">
        <f t="shared" si="0"/>
        <v>6.0497334552319577</v>
      </c>
      <c r="J26">
        <f t="shared" si="1"/>
        <v>9.2103403719761836</v>
      </c>
    </row>
    <row r="27" spans="1:10" x14ac:dyDescent="0.2">
      <c r="A27">
        <v>242</v>
      </c>
      <c r="B27">
        <v>0</v>
      </c>
      <c r="C27">
        <v>1</v>
      </c>
      <c r="D27">
        <v>0</v>
      </c>
      <c r="E27" s="1">
        <v>0</v>
      </c>
      <c r="F27">
        <v>0</v>
      </c>
      <c r="G27">
        <v>23000</v>
      </c>
      <c r="H27">
        <v>30</v>
      </c>
      <c r="I27">
        <f t="shared" si="0"/>
        <v>5.4889377261566867</v>
      </c>
      <c r="J27">
        <f t="shared" si="1"/>
        <v>10.043249494911286</v>
      </c>
    </row>
    <row r="28" spans="1:10" x14ac:dyDescent="0.2">
      <c r="A28">
        <v>119</v>
      </c>
      <c r="B28">
        <v>0</v>
      </c>
      <c r="C28">
        <v>1</v>
      </c>
      <c r="D28">
        <v>0</v>
      </c>
      <c r="E28" s="1">
        <v>0</v>
      </c>
      <c r="F28">
        <v>0</v>
      </c>
      <c r="G28">
        <v>35000</v>
      </c>
      <c r="H28">
        <v>45</v>
      </c>
      <c r="I28">
        <f t="shared" si="0"/>
        <v>4.7791234931115296</v>
      </c>
      <c r="J28">
        <f t="shared" si="1"/>
        <v>10.46310334047155</v>
      </c>
    </row>
    <row r="29" spans="1:10" x14ac:dyDescent="0.2">
      <c r="A29">
        <v>338</v>
      </c>
      <c r="B29">
        <v>0</v>
      </c>
      <c r="C29">
        <v>1</v>
      </c>
      <c r="D29">
        <v>0</v>
      </c>
      <c r="E29" s="1">
        <v>0</v>
      </c>
      <c r="F29">
        <v>0</v>
      </c>
      <c r="G29">
        <v>38000</v>
      </c>
      <c r="H29">
        <v>40</v>
      </c>
      <c r="I29">
        <f t="shared" si="0"/>
        <v>5.8230458954830189</v>
      </c>
      <c r="J29">
        <f t="shared" si="1"/>
        <v>10.545341438708522</v>
      </c>
    </row>
    <row r="30" spans="1:10" x14ac:dyDescent="0.2">
      <c r="A30">
        <v>135</v>
      </c>
      <c r="B30">
        <v>0</v>
      </c>
      <c r="C30">
        <v>1</v>
      </c>
      <c r="D30">
        <v>0</v>
      </c>
      <c r="E30" s="1">
        <v>0</v>
      </c>
      <c r="F30">
        <v>0</v>
      </c>
      <c r="G30">
        <v>45000</v>
      </c>
      <c r="H30">
        <v>50</v>
      </c>
      <c r="I30">
        <f t="shared" si="0"/>
        <v>4.9052747784384296</v>
      </c>
      <c r="J30">
        <f t="shared" si="1"/>
        <v>10.714417768752456</v>
      </c>
    </row>
    <row r="31" spans="1:10" x14ac:dyDescent="0.2">
      <c r="A31">
        <v>590</v>
      </c>
      <c r="B31">
        <v>0</v>
      </c>
      <c r="C31">
        <v>1</v>
      </c>
      <c r="D31">
        <v>0</v>
      </c>
      <c r="E31" s="1">
        <v>0</v>
      </c>
      <c r="F31">
        <v>0</v>
      </c>
      <c r="G31">
        <v>85000</v>
      </c>
      <c r="H31">
        <v>32</v>
      </c>
      <c r="I31">
        <f t="shared" si="0"/>
        <v>6.3801225368997647</v>
      </c>
      <c r="J31">
        <f t="shared" si="1"/>
        <v>11.350406535472453</v>
      </c>
    </row>
    <row r="32" spans="1:10" x14ac:dyDescent="0.2">
      <c r="A32">
        <v>324</v>
      </c>
      <c r="B32">
        <v>0</v>
      </c>
      <c r="C32">
        <v>1</v>
      </c>
      <c r="D32">
        <v>0</v>
      </c>
      <c r="E32" s="1">
        <v>0</v>
      </c>
      <c r="F32">
        <v>0</v>
      </c>
      <c r="G32">
        <v>22000</v>
      </c>
      <c r="H32">
        <v>30</v>
      </c>
      <c r="I32">
        <f t="shared" si="0"/>
        <v>5.780743515792329</v>
      </c>
      <c r="J32">
        <f t="shared" si="1"/>
        <v>9.9987977323404529</v>
      </c>
    </row>
    <row r="33" spans="1:10" x14ac:dyDescent="0.2">
      <c r="A33">
        <v>87</v>
      </c>
      <c r="B33">
        <v>0</v>
      </c>
      <c r="C33">
        <v>1</v>
      </c>
      <c r="D33">
        <v>0</v>
      </c>
      <c r="E33" s="1">
        <v>0</v>
      </c>
      <c r="F33">
        <v>0</v>
      </c>
      <c r="G33">
        <v>25000</v>
      </c>
      <c r="H33">
        <v>51</v>
      </c>
      <c r="I33">
        <f t="shared" si="0"/>
        <v>4.4659081186545837</v>
      </c>
      <c r="J33">
        <f t="shared" si="1"/>
        <v>10.126631103850338</v>
      </c>
    </row>
    <row r="34" spans="1:10" x14ac:dyDescent="0.2">
      <c r="A34">
        <v>395</v>
      </c>
      <c r="B34">
        <v>0</v>
      </c>
      <c r="C34">
        <v>0</v>
      </c>
      <c r="D34">
        <v>1</v>
      </c>
      <c r="E34" s="1">
        <v>0</v>
      </c>
      <c r="F34">
        <v>0</v>
      </c>
      <c r="G34">
        <v>29000</v>
      </c>
      <c r="H34">
        <v>22</v>
      </c>
      <c r="I34">
        <f t="shared" si="0"/>
        <v>5.978885764901122</v>
      </c>
      <c r="J34">
        <f t="shared" si="1"/>
        <v>10.275051108968611</v>
      </c>
    </row>
    <row r="35" spans="1:10" x14ac:dyDescent="0.2">
      <c r="A35">
        <v>513</v>
      </c>
      <c r="B35">
        <v>0</v>
      </c>
      <c r="C35">
        <v>0</v>
      </c>
      <c r="D35">
        <v>1</v>
      </c>
      <c r="E35" s="1">
        <v>0</v>
      </c>
      <c r="F35">
        <v>0</v>
      </c>
      <c r="G35">
        <v>132000</v>
      </c>
      <c r="H35">
        <v>40</v>
      </c>
      <c r="I35">
        <f t="shared" si="0"/>
        <v>6.2402758451707694</v>
      </c>
      <c r="J35">
        <f t="shared" si="1"/>
        <v>11.790557201568507</v>
      </c>
    </row>
    <row r="36" spans="1:10" x14ac:dyDescent="0.2">
      <c r="A36">
        <v>56</v>
      </c>
      <c r="B36">
        <v>0</v>
      </c>
      <c r="C36">
        <v>0</v>
      </c>
      <c r="D36">
        <v>1</v>
      </c>
      <c r="E36" s="1">
        <v>0</v>
      </c>
      <c r="F36">
        <v>0</v>
      </c>
      <c r="G36">
        <v>35000</v>
      </c>
      <c r="H36">
        <v>30</v>
      </c>
      <c r="I36">
        <f t="shared" si="0"/>
        <v>4.0253516907351496</v>
      </c>
      <c r="J36">
        <f t="shared" si="1"/>
        <v>10.46310334047155</v>
      </c>
    </row>
    <row r="37" spans="1:10" x14ac:dyDescent="0.2">
      <c r="A37">
        <v>400</v>
      </c>
      <c r="B37">
        <v>0</v>
      </c>
      <c r="C37">
        <v>0</v>
      </c>
      <c r="D37">
        <v>1</v>
      </c>
      <c r="E37" s="1">
        <v>0</v>
      </c>
      <c r="F37">
        <v>0</v>
      </c>
      <c r="G37">
        <v>80000</v>
      </c>
      <c r="H37">
        <v>36</v>
      </c>
      <c r="I37">
        <f t="shared" si="0"/>
        <v>5.9914645471079817</v>
      </c>
      <c r="J37">
        <f t="shared" si="1"/>
        <v>11.289781913656018</v>
      </c>
    </row>
    <row r="38" spans="1:10" x14ac:dyDescent="0.2">
      <c r="A38">
        <v>384</v>
      </c>
      <c r="B38">
        <v>0</v>
      </c>
      <c r="C38">
        <v>0</v>
      </c>
      <c r="D38">
        <v>1</v>
      </c>
      <c r="E38" s="1">
        <v>0</v>
      </c>
      <c r="F38">
        <v>0</v>
      </c>
      <c r="G38">
        <v>55000</v>
      </c>
      <c r="H38">
        <v>27</v>
      </c>
      <c r="I38">
        <f t="shared" si="0"/>
        <v>5.9506425525877269</v>
      </c>
      <c r="J38">
        <f t="shared" si="1"/>
        <v>10.915088464214607</v>
      </c>
    </row>
    <row r="39" spans="1:10" x14ac:dyDescent="0.2">
      <c r="A39">
        <v>262</v>
      </c>
      <c r="B39">
        <v>0</v>
      </c>
      <c r="C39">
        <v>0</v>
      </c>
      <c r="D39">
        <v>1</v>
      </c>
      <c r="E39" s="1">
        <v>0</v>
      </c>
      <c r="F39">
        <v>0</v>
      </c>
      <c r="G39">
        <v>30000</v>
      </c>
      <c r="H39">
        <v>24</v>
      </c>
      <c r="I39">
        <f t="shared" si="0"/>
        <v>5.5683445037610966</v>
      </c>
      <c r="J39">
        <f t="shared" si="1"/>
        <v>10.308952660644293</v>
      </c>
    </row>
    <row r="40" spans="1:10" x14ac:dyDescent="0.2">
      <c r="A40">
        <v>336</v>
      </c>
      <c r="B40">
        <v>0</v>
      </c>
      <c r="C40">
        <v>0</v>
      </c>
      <c r="D40">
        <v>1</v>
      </c>
      <c r="E40" s="1">
        <v>0</v>
      </c>
      <c r="F40">
        <v>0</v>
      </c>
      <c r="G40">
        <v>27000</v>
      </c>
      <c r="H40">
        <v>21</v>
      </c>
      <c r="I40">
        <f t="shared" si="0"/>
        <v>5.8171111599632042</v>
      </c>
      <c r="J40">
        <f t="shared" si="1"/>
        <v>10.203592144986466</v>
      </c>
    </row>
    <row r="41" spans="1:10" x14ac:dyDescent="0.2">
      <c r="A41">
        <v>281</v>
      </c>
      <c r="B41">
        <v>0</v>
      </c>
      <c r="C41">
        <v>0</v>
      </c>
      <c r="D41">
        <v>0</v>
      </c>
      <c r="E41">
        <v>1</v>
      </c>
      <c r="F41">
        <v>0</v>
      </c>
      <c r="G41">
        <v>80000</v>
      </c>
      <c r="H41">
        <v>45</v>
      </c>
      <c r="I41">
        <f t="shared" si="0"/>
        <v>5.6383546693337454</v>
      </c>
      <c r="J41">
        <f t="shared" si="1"/>
        <v>11.289781913656018</v>
      </c>
    </row>
  </sheetData>
  <autoFilter ref="A1:J41" xr:uid="{62CFB8DC-8BE7-694B-830E-18B8934E4F73}">
    <filterColumn colId="0">
      <filters>
        <filter val="10"/>
        <filter val="106"/>
        <filter val="108"/>
        <filter val="109"/>
        <filter val="110"/>
        <filter val="119"/>
        <filter val="135"/>
        <filter val="141"/>
        <filter val="148"/>
        <filter val="189"/>
        <filter val="220"/>
        <filter val="239"/>
        <filter val="242"/>
        <filter val="262"/>
        <filter val="281"/>
        <filter val="299"/>
        <filter val="324"/>
        <filter val="336"/>
        <filter val="338"/>
        <filter val="35"/>
        <filter val="384"/>
        <filter val="395"/>
        <filter val="400"/>
        <filter val="403"/>
        <filter val="41"/>
        <filter val="424"/>
        <filter val="513"/>
        <filter val="56"/>
        <filter val="590"/>
        <filter val="63"/>
        <filter val="64"/>
        <filter val="71"/>
        <filter val="87"/>
        <filter val="9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9B31-3142-F441-AD03-7FD3C02ACF53}">
  <dimension ref="A1:U82"/>
  <sheetViews>
    <sheetView tabSelected="1" workbookViewId="0">
      <selection activeCell="T76" sqref="T76"/>
    </sheetView>
  </sheetViews>
  <sheetFormatPr baseColWidth="10" defaultRowHeight="15" x14ac:dyDescent="0.2"/>
  <sheetData>
    <row r="1" spans="1:21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</v>
      </c>
      <c r="H1" t="s">
        <v>2</v>
      </c>
      <c r="I1" t="s">
        <v>39</v>
      </c>
      <c r="J1" t="s">
        <v>40</v>
      </c>
      <c r="M1" t="s">
        <v>15</v>
      </c>
    </row>
    <row r="2" spans="1:21" ht="16" thickBot="1" x14ac:dyDescent="0.25">
      <c r="A2">
        <v>109</v>
      </c>
      <c r="B2">
        <v>1</v>
      </c>
      <c r="C2">
        <v>0</v>
      </c>
      <c r="D2">
        <v>0</v>
      </c>
      <c r="E2">
        <v>0</v>
      </c>
      <c r="F2">
        <v>1</v>
      </c>
      <c r="G2">
        <v>15000</v>
      </c>
      <c r="H2">
        <v>25</v>
      </c>
      <c r="I2">
        <v>4.6913478822291435</v>
      </c>
      <c r="J2">
        <v>9.6158054800843473</v>
      </c>
    </row>
    <row r="3" spans="1:21" x14ac:dyDescent="0.2">
      <c r="A3">
        <v>108</v>
      </c>
      <c r="B3">
        <v>1</v>
      </c>
      <c r="C3">
        <v>0</v>
      </c>
      <c r="D3">
        <v>0</v>
      </c>
      <c r="E3">
        <v>0</v>
      </c>
      <c r="F3">
        <v>1</v>
      </c>
      <c r="G3">
        <v>20000</v>
      </c>
      <c r="H3">
        <v>28</v>
      </c>
      <c r="I3">
        <v>4.6821312271242199</v>
      </c>
      <c r="J3">
        <v>9.9034875525361272</v>
      </c>
      <c r="M3" s="7" t="s">
        <v>16</v>
      </c>
      <c r="N3" s="7"/>
    </row>
    <row r="4" spans="1:21" x14ac:dyDescent="0.2">
      <c r="A4">
        <v>220</v>
      </c>
      <c r="B4">
        <v>1</v>
      </c>
      <c r="C4">
        <v>1</v>
      </c>
      <c r="D4">
        <v>0</v>
      </c>
      <c r="E4">
        <v>0</v>
      </c>
      <c r="F4">
        <v>0</v>
      </c>
      <c r="G4">
        <v>15000</v>
      </c>
      <c r="H4">
        <v>25</v>
      </c>
      <c r="I4">
        <v>5.393627546352362</v>
      </c>
      <c r="J4">
        <v>9.6158054800843473</v>
      </c>
      <c r="M4" s="4" t="s">
        <v>17</v>
      </c>
      <c r="N4" s="4">
        <v>0.44962672730431924</v>
      </c>
    </row>
    <row r="5" spans="1:21" x14ac:dyDescent="0.2">
      <c r="A5">
        <v>189</v>
      </c>
      <c r="B5">
        <v>1</v>
      </c>
      <c r="C5">
        <v>1</v>
      </c>
      <c r="D5">
        <v>0</v>
      </c>
      <c r="E5">
        <v>0</v>
      </c>
      <c r="F5">
        <v>0</v>
      </c>
      <c r="G5">
        <v>30000</v>
      </c>
      <c r="H5">
        <v>35</v>
      </c>
      <c r="I5">
        <v>5.2417470150596426</v>
      </c>
      <c r="J5">
        <v>10.308952660644293</v>
      </c>
      <c r="M5" s="4" t="s">
        <v>18</v>
      </c>
      <c r="N5" s="4">
        <v>0.20216419390639268</v>
      </c>
    </row>
    <row r="6" spans="1:21" x14ac:dyDescent="0.2">
      <c r="A6">
        <v>64</v>
      </c>
      <c r="B6">
        <v>1</v>
      </c>
      <c r="C6">
        <v>1</v>
      </c>
      <c r="D6">
        <v>0</v>
      </c>
      <c r="E6">
        <v>0</v>
      </c>
      <c r="F6">
        <v>0</v>
      </c>
      <c r="G6">
        <v>12000</v>
      </c>
      <c r="H6">
        <v>40</v>
      </c>
      <c r="I6">
        <v>4.1588830833596715</v>
      </c>
      <c r="J6">
        <v>9.3926619287701367</v>
      </c>
      <c r="M6" s="4" t="s">
        <v>19</v>
      </c>
      <c r="N6" s="4">
        <v>0.17869843490363951</v>
      </c>
    </row>
    <row r="7" spans="1:21" x14ac:dyDescent="0.2">
      <c r="A7">
        <v>262</v>
      </c>
      <c r="B7">
        <v>1</v>
      </c>
      <c r="C7">
        <v>1</v>
      </c>
      <c r="D7">
        <v>0</v>
      </c>
      <c r="E7">
        <v>0</v>
      </c>
      <c r="F7">
        <v>0</v>
      </c>
      <c r="G7">
        <v>12000</v>
      </c>
      <c r="H7">
        <v>22</v>
      </c>
      <c r="I7">
        <v>5.5683445037610966</v>
      </c>
      <c r="J7">
        <v>9.3926619287701367</v>
      </c>
      <c r="M7" s="4" t="s">
        <v>20</v>
      </c>
      <c r="N7" s="4">
        <v>135.68618843722109</v>
      </c>
    </row>
    <row r="8" spans="1:21" ht="16" thickBot="1" x14ac:dyDescent="0.25">
      <c r="A8">
        <v>64</v>
      </c>
      <c r="B8">
        <v>1</v>
      </c>
      <c r="C8">
        <v>1</v>
      </c>
      <c r="D8">
        <v>0</v>
      </c>
      <c r="E8">
        <v>0</v>
      </c>
      <c r="F8">
        <v>0</v>
      </c>
      <c r="G8">
        <v>28000</v>
      </c>
      <c r="H8">
        <v>30</v>
      </c>
      <c r="I8">
        <v>4.1588830833596715</v>
      </c>
      <c r="J8">
        <v>10.239959789157341</v>
      </c>
      <c r="M8" s="5" t="s">
        <v>21</v>
      </c>
      <c r="N8" s="5">
        <v>36</v>
      </c>
    </row>
    <row r="9" spans="1:21" x14ac:dyDescent="0.2">
      <c r="A9">
        <v>35</v>
      </c>
      <c r="B9">
        <v>1</v>
      </c>
      <c r="C9">
        <v>1</v>
      </c>
      <c r="D9">
        <v>0</v>
      </c>
      <c r="E9">
        <v>0</v>
      </c>
      <c r="F9">
        <v>0</v>
      </c>
      <c r="G9">
        <v>22000</v>
      </c>
      <c r="H9">
        <v>21</v>
      </c>
      <c r="I9">
        <v>3.5553480614894135</v>
      </c>
      <c r="J9">
        <v>9.9987977323404529</v>
      </c>
    </row>
    <row r="10" spans="1:21" ht="16" thickBot="1" x14ac:dyDescent="0.25">
      <c r="A10">
        <v>94</v>
      </c>
      <c r="B10">
        <v>1</v>
      </c>
      <c r="C10">
        <v>1</v>
      </c>
      <c r="D10">
        <v>0</v>
      </c>
      <c r="E10">
        <v>0</v>
      </c>
      <c r="F10">
        <v>0</v>
      </c>
      <c r="G10">
        <v>44000</v>
      </c>
      <c r="H10">
        <v>40</v>
      </c>
      <c r="I10">
        <v>4.5432947822700038</v>
      </c>
      <c r="J10">
        <v>10.691944912900398</v>
      </c>
      <c r="M10" t="s">
        <v>22</v>
      </c>
    </row>
    <row r="11" spans="1:21" x14ac:dyDescent="0.2">
      <c r="A11">
        <v>71</v>
      </c>
      <c r="B11">
        <v>1</v>
      </c>
      <c r="C11">
        <v>0</v>
      </c>
      <c r="D11">
        <v>1</v>
      </c>
      <c r="E11">
        <v>0</v>
      </c>
      <c r="F11">
        <v>0</v>
      </c>
      <c r="G11">
        <v>10000</v>
      </c>
      <c r="H11">
        <v>21</v>
      </c>
      <c r="I11">
        <v>4.2626798770413155</v>
      </c>
      <c r="J11">
        <v>9.2103403719761836</v>
      </c>
      <c r="M11" s="6"/>
      <c r="N11" s="6" t="s">
        <v>27</v>
      </c>
      <c r="O11" s="6" t="s">
        <v>28</v>
      </c>
      <c r="P11" s="6" t="s">
        <v>29</v>
      </c>
      <c r="Q11" s="6" t="s">
        <v>30</v>
      </c>
      <c r="R11" s="6" t="s">
        <v>31</v>
      </c>
    </row>
    <row r="12" spans="1:21" x14ac:dyDescent="0.2">
      <c r="A12">
        <v>403</v>
      </c>
      <c r="B12">
        <v>1</v>
      </c>
      <c r="C12">
        <v>0</v>
      </c>
      <c r="D12">
        <v>1</v>
      </c>
      <c r="E12">
        <v>0</v>
      </c>
      <c r="F12">
        <v>0</v>
      </c>
      <c r="G12">
        <v>222000</v>
      </c>
      <c r="H12">
        <v>45</v>
      </c>
      <c r="I12">
        <v>5.9989365619466826</v>
      </c>
      <c r="J12">
        <v>12.310432660854417</v>
      </c>
      <c r="M12" s="4" t="s">
        <v>23</v>
      </c>
      <c r="N12" s="4">
        <v>1</v>
      </c>
      <c r="O12" s="4">
        <v>158613.78109088365</v>
      </c>
      <c r="P12" s="4">
        <v>158613.78109088365</v>
      </c>
      <c r="Q12" s="4">
        <v>8.6152846742640374</v>
      </c>
      <c r="R12" s="4">
        <v>5.9379978562842948E-3</v>
      </c>
    </row>
    <row r="13" spans="1:21" x14ac:dyDescent="0.2">
      <c r="A13">
        <v>41</v>
      </c>
      <c r="B13">
        <v>1</v>
      </c>
      <c r="C13">
        <v>0</v>
      </c>
      <c r="D13">
        <v>1</v>
      </c>
      <c r="E13">
        <v>0</v>
      </c>
      <c r="F13">
        <v>0</v>
      </c>
      <c r="G13">
        <v>32000</v>
      </c>
      <c r="H13">
        <v>36</v>
      </c>
      <c r="I13">
        <v>3.713572066704308</v>
      </c>
      <c r="J13">
        <v>10.373491181781864</v>
      </c>
      <c r="M13" s="4" t="s">
        <v>24</v>
      </c>
      <c r="N13" s="4">
        <v>34</v>
      </c>
      <c r="O13" s="4">
        <v>625965.21890911635</v>
      </c>
      <c r="P13" s="4">
        <v>18410.741732621071</v>
      </c>
      <c r="Q13" s="4"/>
      <c r="R13" s="4"/>
    </row>
    <row r="14" spans="1:21" ht="16" thickBot="1" x14ac:dyDescent="0.25">
      <c r="A14">
        <v>10</v>
      </c>
      <c r="B14">
        <v>1</v>
      </c>
      <c r="C14">
        <v>0</v>
      </c>
      <c r="D14">
        <v>1</v>
      </c>
      <c r="E14">
        <v>0</v>
      </c>
      <c r="F14">
        <v>0</v>
      </c>
      <c r="G14">
        <v>45000</v>
      </c>
      <c r="H14">
        <v>36</v>
      </c>
      <c r="I14">
        <v>2.3025850929940459</v>
      </c>
      <c r="J14">
        <v>10.714417768752456</v>
      </c>
      <c r="M14" s="5" t="s">
        <v>25</v>
      </c>
      <c r="N14" s="5">
        <v>35</v>
      </c>
      <c r="O14" s="5">
        <v>784579</v>
      </c>
      <c r="P14" s="5"/>
      <c r="Q14" s="5"/>
      <c r="R14" s="5"/>
    </row>
    <row r="15" spans="1:21" ht="16" thickBot="1" x14ac:dyDescent="0.25">
      <c r="A15">
        <v>110</v>
      </c>
      <c r="B15">
        <v>1</v>
      </c>
      <c r="C15">
        <v>0</v>
      </c>
      <c r="D15">
        <v>1</v>
      </c>
      <c r="E15">
        <v>0</v>
      </c>
      <c r="F15">
        <v>0</v>
      </c>
      <c r="G15">
        <v>55000</v>
      </c>
      <c r="H15">
        <v>40</v>
      </c>
      <c r="I15">
        <v>4.7004803657924166</v>
      </c>
      <c r="J15">
        <v>10.915088464214607</v>
      </c>
    </row>
    <row r="16" spans="1:21" x14ac:dyDescent="0.2">
      <c r="A16">
        <v>239</v>
      </c>
      <c r="B16">
        <v>1</v>
      </c>
      <c r="C16">
        <v>0</v>
      </c>
      <c r="D16">
        <v>1</v>
      </c>
      <c r="E16">
        <v>0</v>
      </c>
      <c r="F16">
        <v>0</v>
      </c>
      <c r="G16">
        <v>29000</v>
      </c>
      <c r="H16">
        <v>23</v>
      </c>
      <c r="I16">
        <v>5.476463551931511</v>
      </c>
      <c r="J16">
        <v>10.275051108968611</v>
      </c>
      <c r="M16" s="6"/>
      <c r="N16" s="6" t="s">
        <v>32</v>
      </c>
      <c r="O16" s="6" t="s">
        <v>20</v>
      </c>
      <c r="P16" s="6" t="s">
        <v>33</v>
      </c>
      <c r="Q16" s="6" t="s">
        <v>34</v>
      </c>
      <c r="R16" s="6" t="s">
        <v>35</v>
      </c>
      <c r="S16" s="6" t="s">
        <v>36</v>
      </c>
      <c r="T16" s="6" t="s">
        <v>37</v>
      </c>
      <c r="U16" s="6" t="s">
        <v>38</v>
      </c>
    </row>
    <row r="17" spans="1:21" x14ac:dyDescent="0.2">
      <c r="A17">
        <v>63</v>
      </c>
      <c r="B17">
        <v>1</v>
      </c>
      <c r="C17">
        <v>0</v>
      </c>
      <c r="D17">
        <v>1</v>
      </c>
      <c r="E17">
        <v>0</v>
      </c>
      <c r="F17">
        <v>0</v>
      </c>
      <c r="G17">
        <v>39000</v>
      </c>
      <c r="H17">
        <v>32</v>
      </c>
      <c r="I17">
        <v>4.1431347263915326</v>
      </c>
      <c r="J17">
        <v>10.571316925111784</v>
      </c>
      <c r="M17" s="4" t="s">
        <v>26</v>
      </c>
      <c r="N17" s="4">
        <v>142.20779045902566</v>
      </c>
      <c r="O17" s="4">
        <v>33.020852497775422</v>
      </c>
      <c r="P17" s="4">
        <v>4.3066056658775249</v>
      </c>
      <c r="Q17" s="4">
        <v>1.3337056908925503E-4</v>
      </c>
      <c r="R17" s="4">
        <v>75.101344277431267</v>
      </c>
      <c r="S17" s="4">
        <v>209.31423664062004</v>
      </c>
      <c r="T17" s="4">
        <v>75.101344277431267</v>
      </c>
      <c r="U17" s="4">
        <v>209.31423664062004</v>
      </c>
    </row>
    <row r="18" spans="1:21" ht="16" thickBot="1" x14ac:dyDescent="0.25">
      <c r="A18">
        <v>106</v>
      </c>
      <c r="B18">
        <v>1</v>
      </c>
      <c r="C18">
        <v>0</v>
      </c>
      <c r="D18">
        <v>0</v>
      </c>
      <c r="E18">
        <v>1</v>
      </c>
      <c r="F18">
        <v>0</v>
      </c>
      <c r="G18">
        <v>55000</v>
      </c>
      <c r="H18">
        <v>30</v>
      </c>
      <c r="I18">
        <v>4.6634390941120669</v>
      </c>
      <c r="J18">
        <v>10.915088464214607</v>
      </c>
      <c r="M18" s="5" t="s">
        <v>1</v>
      </c>
      <c r="N18" s="5">
        <v>1.6782307217657266E-3</v>
      </c>
      <c r="O18" s="5">
        <v>5.7176405722744934E-4</v>
      </c>
      <c r="P18" s="5">
        <v>2.9351805181732886</v>
      </c>
      <c r="Q18" s="5">
        <v>5.9379978562843442E-3</v>
      </c>
      <c r="R18" s="5">
        <v>5.1626635584002046E-4</v>
      </c>
      <c r="S18" s="5">
        <v>2.8401950876914325E-3</v>
      </c>
      <c r="T18" s="5">
        <v>5.1626635584002046E-4</v>
      </c>
      <c r="U18" s="5">
        <v>2.8401950876914325E-3</v>
      </c>
    </row>
    <row r="19" spans="1:21" x14ac:dyDescent="0.2">
      <c r="A19">
        <v>141</v>
      </c>
      <c r="B19">
        <v>0</v>
      </c>
      <c r="C19">
        <v>0</v>
      </c>
      <c r="D19">
        <v>0</v>
      </c>
      <c r="E19" s="1">
        <v>0</v>
      </c>
      <c r="F19">
        <v>1</v>
      </c>
      <c r="G19">
        <v>6000</v>
      </c>
      <c r="H19">
        <v>32</v>
      </c>
      <c r="I19">
        <v>4.9487598903781684</v>
      </c>
      <c r="J19">
        <v>8.6995147482101913</v>
      </c>
    </row>
    <row r="20" spans="1:21" x14ac:dyDescent="0.2">
      <c r="A20">
        <v>299</v>
      </c>
      <c r="B20">
        <v>0</v>
      </c>
      <c r="C20">
        <v>0</v>
      </c>
      <c r="D20">
        <v>0</v>
      </c>
      <c r="E20" s="1">
        <v>0</v>
      </c>
      <c r="F20">
        <v>1</v>
      </c>
      <c r="G20">
        <v>18000</v>
      </c>
      <c r="H20">
        <v>20</v>
      </c>
      <c r="I20">
        <v>5.7004435733906869</v>
      </c>
      <c r="J20">
        <v>9.7981270368783022</v>
      </c>
    </row>
    <row r="21" spans="1:21" x14ac:dyDescent="0.2">
      <c r="A21">
        <v>148</v>
      </c>
      <c r="B21">
        <v>0</v>
      </c>
      <c r="C21">
        <v>0</v>
      </c>
      <c r="D21">
        <v>0</v>
      </c>
      <c r="E21" s="1">
        <v>0</v>
      </c>
      <c r="F21">
        <v>1</v>
      </c>
      <c r="G21">
        <v>55000</v>
      </c>
      <c r="H21">
        <v>55</v>
      </c>
      <c r="I21">
        <v>4.9972122737641147</v>
      </c>
      <c r="J21">
        <v>10.915088464214607</v>
      </c>
    </row>
    <row r="22" spans="1:21" x14ac:dyDescent="0.2">
      <c r="A22">
        <v>424</v>
      </c>
      <c r="B22">
        <v>0</v>
      </c>
      <c r="C22">
        <v>1</v>
      </c>
      <c r="D22">
        <v>0</v>
      </c>
      <c r="E22" s="1">
        <v>0</v>
      </c>
      <c r="F22">
        <v>0</v>
      </c>
      <c r="G22">
        <v>10000</v>
      </c>
      <c r="H22">
        <v>18</v>
      </c>
      <c r="I22">
        <v>6.0497334552319577</v>
      </c>
      <c r="J22">
        <v>9.2103403719761836</v>
      </c>
      <c r="M22" t="s">
        <v>15</v>
      </c>
    </row>
    <row r="23" spans="1:21" ht="16" thickBot="1" x14ac:dyDescent="0.25">
      <c r="A23">
        <v>242</v>
      </c>
      <c r="B23">
        <v>0</v>
      </c>
      <c r="C23">
        <v>1</v>
      </c>
      <c r="D23">
        <v>0</v>
      </c>
      <c r="E23" s="1">
        <v>0</v>
      </c>
      <c r="F23">
        <v>0</v>
      </c>
      <c r="G23">
        <v>23000</v>
      </c>
      <c r="H23">
        <v>30</v>
      </c>
      <c r="I23">
        <v>5.4889377261566867</v>
      </c>
      <c r="J23">
        <v>10.043249494911286</v>
      </c>
    </row>
    <row r="24" spans="1:21" x14ac:dyDescent="0.2">
      <c r="A24">
        <v>119</v>
      </c>
      <c r="B24">
        <v>0</v>
      </c>
      <c r="C24">
        <v>1</v>
      </c>
      <c r="D24">
        <v>0</v>
      </c>
      <c r="E24" s="1">
        <v>0</v>
      </c>
      <c r="F24">
        <v>0</v>
      </c>
      <c r="G24">
        <v>35000</v>
      </c>
      <c r="H24">
        <v>45</v>
      </c>
      <c r="I24">
        <v>4.7791234931115296</v>
      </c>
      <c r="J24">
        <v>10.46310334047155</v>
      </c>
      <c r="M24" s="7" t="s">
        <v>16</v>
      </c>
      <c r="N24" s="7"/>
    </row>
    <row r="25" spans="1:21" x14ac:dyDescent="0.2">
      <c r="A25">
        <v>338</v>
      </c>
      <c r="B25">
        <v>0</v>
      </c>
      <c r="C25">
        <v>1</v>
      </c>
      <c r="D25">
        <v>0</v>
      </c>
      <c r="E25" s="1">
        <v>0</v>
      </c>
      <c r="F25">
        <v>0</v>
      </c>
      <c r="G25">
        <v>38000</v>
      </c>
      <c r="H25">
        <v>40</v>
      </c>
      <c r="I25">
        <v>5.8230458954830189</v>
      </c>
      <c r="J25">
        <v>10.545341438708522</v>
      </c>
      <c r="M25" s="4" t="s">
        <v>17</v>
      </c>
      <c r="N25" s="4">
        <v>0.35914438887171107</v>
      </c>
    </row>
    <row r="26" spans="1:21" x14ac:dyDescent="0.2">
      <c r="A26">
        <v>135</v>
      </c>
      <c r="B26">
        <v>0</v>
      </c>
      <c r="C26">
        <v>1</v>
      </c>
      <c r="D26">
        <v>0</v>
      </c>
      <c r="E26" s="1">
        <v>0</v>
      </c>
      <c r="F26">
        <v>0</v>
      </c>
      <c r="G26">
        <v>45000</v>
      </c>
      <c r="H26">
        <v>50</v>
      </c>
      <c r="I26">
        <v>4.9052747784384296</v>
      </c>
      <c r="J26">
        <v>10.714417768752456</v>
      </c>
      <c r="M26" s="4" t="s">
        <v>18</v>
      </c>
      <c r="N26" s="4">
        <v>0.12898469205803484</v>
      </c>
    </row>
    <row r="27" spans="1:21" x14ac:dyDescent="0.2">
      <c r="A27">
        <v>590</v>
      </c>
      <c r="B27">
        <v>0</v>
      </c>
      <c r="C27">
        <v>1</v>
      </c>
      <c r="D27">
        <v>0</v>
      </c>
      <c r="E27" s="1">
        <v>0</v>
      </c>
      <c r="F27">
        <v>0</v>
      </c>
      <c r="G27">
        <v>85000</v>
      </c>
      <c r="H27">
        <v>32</v>
      </c>
      <c r="I27">
        <v>6.3801225368997647</v>
      </c>
      <c r="J27">
        <v>11.350406535472453</v>
      </c>
      <c r="M27" s="4" t="s">
        <v>19</v>
      </c>
      <c r="N27" s="4">
        <v>0.1033665947656241</v>
      </c>
    </row>
    <row r="28" spans="1:21" x14ac:dyDescent="0.2">
      <c r="A28">
        <v>324</v>
      </c>
      <c r="B28">
        <v>0</v>
      </c>
      <c r="C28">
        <v>1</v>
      </c>
      <c r="D28">
        <v>0</v>
      </c>
      <c r="E28" s="1">
        <v>0</v>
      </c>
      <c r="F28">
        <v>0</v>
      </c>
      <c r="G28">
        <v>22000</v>
      </c>
      <c r="H28">
        <v>30</v>
      </c>
      <c r="I28">
        <v>5.780743515792329</v>
      </c>
      <c r="J28">
        <v>9.9987977323404529</v>
      </c>
      <c r="M28" s="4" t="s">
        <v>20</v>
      </c>
      <c r="N28" s="4">
        <v>141.77242734601933</v>
      </c>
    </row>
    <row r="29" spans="1:21" ht="16" thickBot="1" x14ac:dyDescent="0.25">
      <c r="A29">
        <v>87</v>
      </c>
      <c r="B29">
        <v>0</v>
      </c>
      <c r="C29">
        <v>1</v>
      </c>
      <c r="D29">
        <v>0</v>
      </c>
      <c r="E29" s="1">
        <v>0</v>
      </c>
      <c r="F29">
        <v>0</v>
      </c>
      <c r="G29">
        <v>25000</v>
      </c>
      <c r="H29">
        <v>51</v>
      </c>
      <c r="I29">
        <v>4.4659081186545837</v>
      </c>
      <c r="J29">
        <v>10.126631103850338</v>
      </c>
      <c r="M29" s="5" t="s">
        <v>21</v>
      </c>
      <c r="N29" s="5">
        <v>36</v>
      </c>
    </row>
    <row r="30" spans="1:21" x14ac:dyDescent="0.2">
      <c r="A30">
        <v>395</v>
      </c>
      <c r="B30">
        <v>0</v>
      </c>
      <c r="C30">
        <v>0</v>
      </c>
      <c r="D30">
        <v>1</v>
      </c>
      <c r="E30" s="1">
        <v>0</v>
      </c>
      <c r="F30">
        <v>0</v>
      </c>
      <c r="G30">
        <v>29000</v>
      </c>
      <c r="H30">
        <v>22</v>
      </c>
      <c r="I30">
        <v>5.978885764901122</v>
      </c>
      <c r="J30">
        <v>10.275051108968611</v>
      </c>
    </row>
    <row r="31" spans="1:21" ht="16" thickBot="1" x14ac:dyDescent="0.25">
      <c r="A31">
        <v>513</v>
      </c>
      <c r="B31">
        <v>0</v>
      </c>
      <c r="C31">
        <v>0</v>
      </c>
      <c r="D31">
        <v>1</v>
      </c>
      <c r="E31" s="1">
        <v>0</v>
      </c>
      <c r="F31">
        <v>0</v>
      </c>
      <c r="G31">
        <v>132000</v>
      </c>
      <c r="H31">
        <v>40</v>
      </c>
      <c r="I31">
        <v>6.2402758451707694</v>
      </c>
      <c r="J31">
        <v>11.790557201568507</v>
      </c>
      <c r="M31" t="s">
        <v>22</v>
      </c>
    </row>
    <row r="32" spans="1:21" x14ac:dyDescent="0.2">
      <c r="A32">
        <v>56</v>
      </c>
      <c r="B32">
        <v>0</v>
      </c>
      <c r="C32">
        <v>0</v>
      </c>
      <c r="D32">
        <v>1</v>
      </c>
      <c r="E32" s="1">
        <v>0</v>
      </c>
      <c r="F32">
        <v>0</v>
      </c>
      <c r="G32">
        <v>35000</v>
      </c>
      <c r="H32">
        <v>30</v>
      </c>
      <c r="I32">
        <v>4.0253516907351496</v>
      </c>
      <c r="J32">
        <v>10.46310334047155</v>
      </c>
      <c r="M32" s="6"/>
      <c r="N32" s="6" t="s">
        <v>27</v>
      </c>
      <c r="O32" s="6" t="s">
        <v>28</v>
      </c>
      <c r="P32" s="6" t="s">
        <v>29</v>
      </c>
      <c r="Q32" s="6" t="s">
        <v>30</v>
      </c>
      <c r="R32" s="6" t="s">
        <v>31</v>
      </c>
    </row>
    <row r="33" spans="1:21" x14ac:dyDescent="0.2">
      <c r="A33">
        <v>400</v>
      </c>
      <c r="B33">
        <v>0</v>
      </c>
      <c r="C33">
        <v>0</v>
      </c>
      <c r="D33">
        <v>1</v>
      </c>
      <c r="E33" s="1">
        <v>0</v>
      </c>
      <c r="F33">
        <v>0</v>
      </c>
      <c r="G33">
        <v>80000</v>
      </c>
      <c r="H33">
        <v>36</v>
      </c>
      <c r="I33">
        <v>5.9914645471079817</v>
      </c>
      <c r="J33">
        <v>11.289781913656018</v>
      </c>
      <c r="M33" s="4" t="s">
        <v>23</v>
      </c>
      <c r="N33" s="4">
        <v>1</v>
      </c>
      <c r="O33" s="4">
        <v>101198.68071020092</v>
      </c>
      <c r="P33" s="4">
        <v>101198.68071020092</v>
      </c>
      <c r="Q33" s="4">
        <v>5.0349052306958813</v>
      </c>
      <c r="R33" s="4">
        <v>3.146308677125724E-2</v>
      </c>
    </row>
    <row r="34" spans="1:21" x14ac:dyDescent="0.2">
      <c r="A34">
        <v>384</v>
      </c>
      <c r="B34">
        <v>0</v>
      </c>
      <c r="C34">
        <v>0</v>
      </c>
      <c r="D34">
        <v>1</v>
      </c>
      <c r="E34" s="1">
        <v>0</v>
      </c>
      <c r="F34">
        <v>0</v>
      </c>
      <c r="G34">
        <v>55000</v>
      </c>
      <c r="H34">
        <v>27</v>
      </c>
      <c r="I34">
        <v>5.9506425525877269</v>
      </c>
      <c r="J34">
        <v>10.915088464214607</v>
      </c>
      <c r="M34" s="4" t="s">
        <v>24</v>
      </c>
      <c r="N34" s="4">
        <v>34</v>
      </c>
      <c r="O34" s="4">
        <v>683380.31928979908</v>
      </c>
      <c r="P34" s="4">
        <v>20099.421155582328</v>
      </c>
      <c r="Q34" s="4"/>
      <c r="R34" s="4"/>
    </row>
    <row r="35" spans="1:21" ht="16" thickBot="1" x14ac:dyDescent="0.25">
      <c r="A35">
        <v>262</v>
      </c>
      <c r="B35">
        <v>0</v>
      </c>
      <c r="C35">
        <v>0</v>
      </c>
      <c r="D35">
        <v>1</v>
      </c>
      <c r="E35" s="1">
        <v>0</v>
      </c>
      <c r="F35">
        <v>0</v>
      </c>
      <c r="G35">
        <v>30000</v>
      </c>
      <c r="H35">
        <v>24</v>
      </c>
      <c r="I35">
        <v>5.5683445037610966</v>
      </c>
      <c r="J35">
        <v>10.308952660644293</v>
      </c>
      <c r="M35" s="5" t="s">
        <v>25</v>
      </c>
      <c r="N35" s="5">
        <v>35</v>
      </c>
      <c r="O35" s="5">
        <v>784579</v>
      </c>
      <c r="P35" s="5"/>
      <c r="Q35" s="5"/>
      <c r="R35" s="5"/>
    </row>
    <row r="36" spans="1:21" ht="16" thickBot="1" x14ac:dyDescent="0.25">
      <c r="A36">
        <v>336</v>
      </c>
      <c r="B36">
        <v>0</v>
      </c>
      <c r="C36">
        <v>0</v>
      </c>
      <c r="D36">
        <v>1</v>
      </c>
      <c r="E36" s="1">
        <v>0</v>
      </c>
      <c r="F36">
        <v>0</v>
      </c>
      <c r="G36">
        <v>27000</v>
      </c>
      <c r="H36">
        <v>21</v>
      </c>
      <c r="I36">
        <v>5.8171111599632042</v>
      </c>
      <c r="J36">
        <v>10.203592144986466</v>
      </c>
    </row>
    <row r="37" spans="1:21" x14ac:dyDescent="0.2">
      <c r="A37">
        <v>281</v>
      </c>
      <c r="B37">
        <v>0</v>
      </c>
      <c r="C37">
        <v>0</v>
      </c>
      <c r="D37">
        <v>0</v>
      </c>
      <c r="E37">
        <v>1</v>
      </c>
      <c r="F37">
        <v>0</v>
      </c>
      <c r="G37">
        <v>80000</v>
      </c>
      <c r="H37">
        <v>45</v>
      </c>
      <c r="I37">
        <v>5.6383546693337454</v>
      </c>
      <c r="J37">
        <v>11.289781913656018</v>
      </c>
      <c r="M37" s="6"/>
      <c r="N37" s="6" t="s">
        <v>32</v>
      </c>
      <c r="O37" s="6" t="s">
        <v>20</v>
      </c>
      <c r="P37" s="6" t="s">
        <v>33</v>
      </c>
      <c r="Q37" s="6" t="s">
        <v>34</v>
      </c>
      <c r="R37" s="6" t="s">
        <v>35</v>
      </c>
      <c r="S37" s="6" t="s">
        <v>36</v>
      </c>
      <c r="T37" s="6" t="s">
        <v>37</v>
      </c>
      <c r="U37" s="6" t="s">
        <v>38</v>
      </c>
    </row>
    <row r="38" spans="1:21" x14ac:dyDescent="0.2">
      <c r="M38" s="4" t="s">
        <v>26</v>
      </c>
      <c r="N38" s="4">
        <v>-530.74147674919573</v>
      </c>
      <c r="O38" s="4">
        <v>332.22341837351081</v>
      </c>
      <c r="P38" s="4">
        <v>-1.5975438436808083</v>
      </c>
      <c r="Q38" s="4">
        <v>0.11939819809284787</v>
      </c>
      <c r="R38" s="4">
        <v>-1205.9006946055265</v>
      </c>
      <c r="S38" s="4">
        <v>144.41774110713504</v>
      </c>
      <c r="T38" s="4">
        <v>-1205.9006946055265</v>
      </c>
      <c r="U38" s="4">
        <v>144.41774110713504</v>
      </c>
    </row>
    <row r="39" spans="1:21" ht="16" thickBot="1" x14ac:dyDescent="0.25">
      <c r="M39" s="5" t="s">
        <v>40</v>
      </c>
      <c r="N39" s="5">
        <v>71.795531034783849</v>
      </c>
      <c r="O39" s="5">
        <v>31.996447477794682</v>
      </c>
      <c r="P39" s="5">
        <v>2.2438594498532831</v>
      </c>
      <c r="Q39" s="5">
        <v>3.1463086771257323E-2</v>
      </c>
      <c r="R39" s="5">
        <v>6.7709263303628262</v>
      </c>
      <c r="S39" s="5">
        <v>136.82013573920489</v>
      </c>
      <c r="T39" s="5">
        <v>6.7709263303628262</v>
      </c>
      <c r="U39" s="5">
        <v>136.82013573920489</v>
      </c>
    </row>
    <row r="43" spans="1:21" x14ac:dyDescent="0.2">
      <c r="M43" t="s">
        <v>15</v>
      </c>
    </row>
    <row r="44" spans="1:21" ht="16" thickBot="1" x14ac:dyDescent="0.25"/>
    <row r="45" spans="1:21" x14ac:dyDescent="0.2">
      <c r="M45" s="7" t="s">
        <v>16</v>
      </c>
      <c r="N45" s="7"/>
    </row>
    <row r="46" spans="1:21" x14ac:dyDescent="0.2">
      <c r="M46" s="4" t="s">
        <v>17</v>
      </c>
      <c r="N46" s="4">
        <v>0.31778144596112656</v>
      </c>
    </row>
    <row r="47" spans="1:21" x14ac:dyDescent="0.2">
      <c r="M47" s="4" t="s">
        <v>18</v>
      </c>
      <c r="N47" s="4">
        <v>0.10098504739714441</v>
      </c>
    </row>
    <row r="48" spans="1:21" x14ac:dyDescent="0.2">
      <c r="M48" s="4" t="s">
        <v>19</v>
      </c>
      <c r="N48" s="4">
        <v>7.4543431144119238E-2</v>
      </c>
    </row>
    <row r="49" spans="13:21" x14ac:dyDescent="0.2">
      <c r="M49" s="4" t="s">
        <v>20</v>
      </c>
      <c r="N49" s="4">
        <v>0.86185399517510852</v>
      </c>
    </row>
    <row r="50" spans="13:21" ht="16" thickBot="1" x14ac:dyDescent="0.25">
      <c r="M50" s="5" t="s">
        <v>21</v>
      </c>
      <c r="N50" s="5">
        <v>36</v>
      </c>
    </row>
    <row r="52" spans="13:21" ht="16" thickBot="1" x14ac:dyDescent="0.25">
      <c r="M52" t="s">
        <v>22</v>
      </c>
    </row>
    <row r="53" spans="13:21" x14ac:dyDescent="0.2">
      <c r="M53" s="6"/>
      <c r="N53" s="6" t="s">
        <v>27</v>
      </c>
      <c r="O53" s="6" t="s">
        <v>28</v>
      </c>
      <c r="P53" s="6" t="s">
        <v>29</v>
      </c>
      <c r="Q53" s="6" t="s">
        <v>30</v>
      </c>
      <c r="R53" s="6" t="s">
        <v>31</v>
      </c>
    </row>
    <row r="54" spans="13:21" x14ac:dyDescent="0.2">
      <c r="M54" s="4" t="s">
        <v>23</v>
      </c>
      <c r="N54" s="4">
        <v>1</v>
      </c>
      <c r="O54" s="4">
        <v>2.8368506604412396</v>
      </c>
      <c r="P54" s="4">
        <v>2.8368506604412396</v>
      </c>
      <c r="Q54" s="4">
        <v>3.819170750789139</v>
      </c>
      <c r="R54" s="4">
        <v>5.8934018266586979E-2</v>
      </c>
    </row>
    <row r="55" spans="13:21" x14ac:dyDescent="0.2">
      <c r="M55" s="4" t="s">
        <v>24</v>
      </c>
      <c r="N55" s="4">
        <v>34</v>
      </c>
      <c r="O55" s="4">
        <v>25.254938505976067</v>
      </c>
      <c r="P55" s="4">
        <v>0.74279230899929605</v>
      </c>
      <c r="Q55" s="4"/>
      <c r="R55" s="4"/>
    </row>
    <row r="56" spans="13:21" ht="16" thickBot="1" x14ac:dyDescent="0.25">
      <c r="M56" s="5" t="s">
        <v>25</v>
      </c>
      <c r="N56" s="5">
        <v>35</v>
      </c>
      <c r="O56" s="5">
        <v>28.091789166417307</v>
      </c>
      <c r="P56" s="5"/>
      <c r="Q56" s="5"/>
      <c r="R56" s="5"/>
    </row>
    <row r="57" spans="13:21" ht="16" thickBot="1" x14ac:dyDescent="0.25"/>
    <row r="58" spans="13:21" x14ac:dyDescent="0.2">
      <c r="M58" s="6"/>
      <c r="N58" s="6" t="s">
        <v>32</v>
      </c>
      <c r="O58" s="6" t="s">
        <v>20</v>
      </c>
      <c r="P58" s="6" t="s">
        <v>33</v>
      </c>
      <c r="Q58" s="6" t="s">
        <v>34</v>
      </c>
      <c r="R58" s="6" t="s">
        <v>35</v>
      </c>
      <c r="S58" s="6" t="s">
        <v>36</v>
      </c>
      <c r="T58" s="6" t="s">
        <v>37</v>
      </c>
      <c r="U58" s="6" t="s">
        <v>38</v>
      </c>
    </row>
    <row r="59" spans="13:21" x14ac:dyDescent="0.2">
      <c r="M59" s="4" t="s">
        <v>26</v>
      </c>
      <c r="N59" s="4">
        <v>4.7508908189566927</v>
      </c>
      <c r="O59" s="4">
        <v>0.20974245040764128</v>
      </c>
      <c r="P59" s="4">
        <v>22.651069488904998</v>
      </c>
      <c r="Q59" s="4">
        <v>4.310665320225892E-22</v>
      </c>
      <c r="R59" s="4">
        <v>4.32464287574492</v>
      </c>
      <c r="S59" s="4">
        <v>5.1771387621684655</v>
      </c>
      <c r="T59" s="4">
        <v>4.32464287574492</v>
      </c>
      <c r="U59" s="4">
        <v>5.1771387621684655</v>
      </c>
    </row>
    <row r="60" spans="13:21" ht="16" thickBot="1" x14ac:dyDescent="0.25">
      <c r="M60" s="5" t="s">
        <v>1</v>
      </c>
      <c r="N60" s="5">
        <v>7.0974026602906025E-6</v>
      </c>
      <c r="O60" s="5">
        <v>3.6317413193974672E-6</v>
      </c>
      <c r="P60" s="5">
        <v>1.9542698766519291</v>
      </c>
      <c r="Q60" s="5">
        <v>5.8934018266586681E-2</v>
      </c>
      <c r="R60" s="5">
        <v>-2.831836953171892E-7</v>
      </c>
      <c r="S60" s="5">
        <v>1.4477989015898394E-5</v>
      </c>
      <c r="T60" s="5">
        <v>-2.831836953171892E-7</v>
      </c>
      <c r="U60" s="5">
        <v>1.4477989015898394E-5</v>
      </c>
    </row>
    <row r="65" spans="13:21" x14ac:dyDescent="0.2">
      <c r="M65" t="s">
        <v>15</v>
      </c>
    </row>
    <row r="66" spans="13:21" ht="16" thickBot="1" x14ac:dyDescent="0.25"/>
    <row r="67" spans="13:21" x14ac:dyDescent="0.2">
      <c r="M67" s="7" t="s">
        <v>16</v>
      </c>
      <c r="N67" s="7"/>
    </row>
    <row r="68" spans="13:21" x14ac:dyDescent="0.2">
      <c r="M68" s="4" t="s">
        <v>17</v>
      </c>
      <c r="N68" s="4">
        <v>0.22010866020875189</v>
      </c>
    </row>
    <row r="69" spans="13:21" x14ac:dyDescent="0.2">
      <c r="M69" s="4" t="s">
        <v>18</v>
      </c>
      <c r="N69" s="4">
        <v>4.8447822298891795E-2</v>
      </c>
    </row>
    <row r="70" spans="13:21" x14ac:dyDescent="0.2">
      <c r="M70" s="4" t="s">
        <v>19</v>
      </c>
      <c r="N70" s="4">
        <v>2.0460993542976844E-2</v>
      </c>
    </row>
    <row r="71" spans="13:21" x14ac:dyDescent="0.2">
      <c r="M71" s="4" t="s">
        <v>20</v>
      </c>
      <c r="N71" s="4">
        <v>0.88667925026346928</v>
      </c>
    </row>
    <row r="72" spans="13:21" ht="16" thickBot="1" x14ac:dyDescent="0.25">
      <c r="M72" s="5" t="s">
        <v>21</v>
      </c>
      <c r="N72" s="5">
        <v>36</v>
      </c>
    </row>
    <row r="74" spans="13:21" ht="16" thickBot="1" x14ac:dyDescent="0.25">
      <c r="M74" t="s">
        <v>22</v>
      </c>
    </row>
    <row r="75" spans="13:21" x14ac:dyDescent="0.2">
      <c r="M75" s="6"/>
      <c r="N75" s="6" t="s">
        <v>27</v>
      </c>
      <c r="O75" s="6" t="s">
        <v>28</v>
      </c>
      <c r="P75" s="6" t="s">
        <v>29</v>
      </c>
      <c r="Q75" s="6" t="s">
        <v>30</v>
      </c>
      <c r="R75" s="6" t="s">
        <v>31</v>
      </c>
    </row>
    <row r="76" spans="13:21" x14ac:dyDescent="0.2">
      <c r="M76" s="4" t="s">
        <v>23</v>
      </c>
      <c r="N76" s="4">
        <v>1</v>
      </c>
      <c r="O76" s="4">
        <v>1.3609860095925193</v>
      </c>
      <c r="P76" s="4">
        <v>1.3609860095925193</v>
      </c>
      <c r="Q76" s="4">
        <v>1.7310936770087773</v>
      </c>
      <c r="R76" s="4">
        <v>0.19707444512965863</v>
      </c>
    </row>
    <row r="77" spans="13:21" x14ac:dyDescent="0.2">
      <c r="M77" s="4" t="s">
        <v>24</v>
      </c>
      <c r="N77" s="4">
        <v>34</v>
      </c>
      <c r="O77" s="4">
        <v>26.730803156824788</v>
      </c>
      <c r="P77" s="4">
        <v>0.78620009284778791</v>
      </c>
      <c r="Q77" s="4"/>
      <c r="R77" s="4"/>
    </row>
    <row r="78" spans="13:21" ht="16" thickBot="1" x14ac:dyDescent="0.25">
      <c r="M78" s="5" t="s">
        <v>25</v>
      </c>
      <c r="N78" s="5">
        <v>35</v>
      </c>
      <c r="O78" s="5">
        <v>28.091789166417307</v>
      </c>
      <c r="P78" s="5"/>
      <c r="Q78" s="5"/>
      <c r="R78" s="5"/>
    </row>
    <row r="79" spans="13:21" ht="16" thickBot="1" x14ac:dyDescent="0.25"/>
    <row r="80" spans="13:21" x14ac:dyDescent="0.2">
      <c r="M80" s="6"/>
      <c r="N80" s="6" t="s">
        <v>32</v>
      </c>
      <c r="O80" s="6" t="s">
        <v>20</v>
      </c>
      <c r="P80" s="6" t="s">
        <v>33</v>
      </c>
      <c r="Q80" s="6" t="s">
        <v>34</v>
      </c>
      <c r="R80" s="6" t="s">
        <v>35</v>
      </c>
      <c r="S80" s="6" t="s">
        <v>36</v>
      </c>
      <c r="T80" s="6" t="s">
        <v>37</v>
      </c>
      <c r="U80" s="6" t="s">
        <v>38</v>
      </c>
    </row>
    <row r="81" spans="13:21" x14ac:dyDescent="0.2">
      <c r="M81" s="4" t="s">
        <v>26</v>
      </c>
      <c r="N81" s="4">
        <v>2.3227054421344198</v>
      </c>
      <c r="O81" s="4">
        <v>2.0778060800527198</v>
      </c>
      <c r="P81" s="4">
        <v>1.1178643976609628</v>
      </c>
      <c r="Q81" s="4">
        <v>0.27146165174999387</v>
      </c>
      <c r="R81" s="4">
        <v>-1.8999045554796927</v>
      </c>
      <c r="S81" s="4">
        <v>6.5453154397485322</v>
      </c>
      <c r="T81" s="4">
        <v>-1.8999045554796927</v>
      </c>
      <c r="U81" s="4">
        <v>6.5453154397485322</v>
      </c>
    </row>
    <row r="82" spans="13:21" ht="16" thickBot="1" x14ac:dyDescent="0.25">
      <c r="M82" s="5" t="s">
        <v>40</v>
      </c>
      <c r="N82" s="5">
        <v>0.26329148689871046</v>
      </c>
      <c r="O82" s="5">
        <v>0.20011356645155196</v>
      </c>
      <c r="P82" s="5">
        <v>1.3157103317253309</v>
      </c>
      <c r="Q82" s="5">
        <v>0.1970744451296581</v>
      </c>
      <c r="R82" s="5">
        <v>-0.14338820976244249</v>
      </c>
      <c r="S82" s="5">
        <v>0.6699711835598634</v>
      </c>
      <c r="T82" s="5">
        <v>-0.14338820976244249</v>
      </c>
      <c r="U82" s="5">
        <v>0.6699711835598634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Soda_Exp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Microsoft Office User</cp:lastModifiedBy>
  <dcterms:created xsi:type="dcterms:W3CDTF">2019-10-22T17:55:38Z</dcterms:created>
  <dcterms:modified xsi:type="dcterms:W3CDTF">2020-02-25T02:18:01Z</dcterms:modified>
</cp:coreProperties>
</file>