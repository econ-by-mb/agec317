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y Drive/Teaching/AGEC 317 Spring 2020/Module 1_ Why Statistics is Important/"/>
    </mc:Choice>
  </mc:AlternateContent>
  <xr:revisionPtr revIDLastSave="0" documentId="13_ncr:1_{BA0DDB4A-4282-8F41-9A56-9917167A6829}" xr6:coauthVersionLast="45" xr6:coauthVersionMax="45" xr10:uidLastSave="{00000000-0000-0000-0000-000000000000}"/>
  <bookViews>
    <workbookView xWindow="5180" yWindow="3060" windowWidth="28040" windowHeight="17440" xr2:uid="{95E7BEAF-F7CB-9641-88EE-9E5FF1C4CA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6" i="1" l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<sst xmlns="http://schemas.openxmlformats.org/spreadsheetml/2006/main" count="98" uniqueCount="94">
  <si>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</si>
  <si>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</si>
  <si>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</si>
  <si>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</si>
  <si>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</si>
  <si>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</si>
  <si>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</si>
  <si>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</si>
  <si>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</si>
  <si>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</si>
  <si>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</si>
  <si>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</si>
  <si>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</si>
  <si>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</si>
  <si>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</si>
  <si>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</si>
  <si>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</si>
  <si>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</si>
  <si>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</si>
  <si>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</si>
  <si>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</si>
  <si>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</si>
  <si>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</si>
  <si>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</si>
  <si>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</si>
  <si>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</si>
  <si>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</si>
  <si>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</si>
  <si>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</si>
  <si>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</si>
  <si>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Column 1</t>
  </si>
  <si>
    <t>Column 2</t>
  </si>
  <si>
    <t>Column 3</t>
  </si>
  <si>
    <t>Column 4</t>
  </si>
  <si>
    <t>Function</t>
  </si>
  <si>
    <t>Formula</t>
  </si>
  <si>
    <t>Example</t>
  </si>
  <si>
    <t>Example Value</t>
  </si>
  <si>
    <t>Add up total</t>
  </si>
  <si>
    <t>Add individual items</t>
  </si>
  <si>
    <t>Subtract individual items</t>
  </si>
  <si>
    <t>Multiply</t>
  </si>
  <si>
    <t>Divide</t>
  </si>
  <si>
    <t>Exponents</t>
  </si>
  <si>
    <t>Take the average</t>
  </si>
  <si>
    <t>Find the median</t>
  </si>
  <si>
    <t>Find the maximum value</t>
  </si>
  <si>
    <t>Find the minimum value</t>
  </si>
  <si>
    <t>=SUM(cells)</t>
  </si>
  <si>
    <t>=Value1 + Value2</t>
  </si>
  <si>
    <t>=Value1 - Value2</t>
  </si>
  <si>
    <t>=Value1 * Value2</t>
  </si>
  <si>
    <t>=Value1 / Value2</t>
  </si>
  <si>
    <t>=Value1 ^ Value2</t>
  </si>
  <si>
    <t>=AVERAGE(cells)</t>
  </si>
  <si>
    <t>=MEDIAN(cells)</t>
  </si>
  <si>
    <t>=MAX(cells)</t>
  </si>
  <si>
    <t>=MIN(cells)</t>
  </si>
  <si>
    <t>=SUM(B2:B31)</t>
  </si>
  <si>
    <t>=B2 - B3</t>
  </si>
  <si>
    <t>=B2 * B3</t>
  </si>
  <si>
    <t>=B2 / B3</t>
  </si>
  <si>
    <t>= B2 ^ B3</t>
  </si>
  <si>
    <t>=AVERAGE(B2:B31)</t>
  </si>
  <si>
    <t>=MEDIAN(B2:B31)</t>
  </si>
  <si>
    <t>=MAX(B2:B31)</t>
  </si>
  <si>
    <t>=MIN(B2:B31)</t>
  </si>
  <si>
    <t>=B2 + B3</t>
  </si>
  <si>
    <t>Other useful functions</t>
  </si>
  <si>
    <t>If statement</t>
  </si>
  <si>
    <t>Shortcuts</t>
  </si>
  <si>
    <t>=IF(logical statement, "Value if true", "Value if false")</t>
  </si>
  <si>
    <t>=IF(B2&gt;0, "Wow", "Not wow")</t>
  </si>
  <si>
    <t>&lt;--(Try changing B2 to -3 and see how your answers change!)</t>
  </si>
  <si>
    <t>Navigate by one cell</t>
  </si>
  <si>
    <t>Jump to end of column</t>
  </si>
  <si>
    <t>Jump to end of row</t>
  </si>
  <si>
    <t>Cut</t>
  </si>
  <si>
    <t>Copy</t>
  </si>
  <si>
    <t>Paste</t>
  </si>
  <si>
    <t>Undo</t>
  </si>
  <si>
    <t>Arrow keys</t>
  </si>
  <si>
    <t>Windows: ctrl + down, Mac: cmd + down</t>
  </si>
  <si>
    <t>Windows: ctrl + right, Mac: cmd + right</t>
  </si>
  <si>
    <t>Jump to beginning of column</t>
  </si>
  <si>
    <t>Jump to beginning of row</t>
  </si>
  <si>
    <t>Windows: ctrl + up, Mac: cmd + up</t>
  </si>
  <si>
    <t>Windows: ctrl + left, Mac: cmd + left</t>
  </si>
  <si>
    <t>Highlight row/column</t>
  </si>
  <si>
    <t>Shift + ctrl/cmd + arrow key</t>
  </si>
  <si>
    <t>ctrl/cmd + x</t>
  </si>
  <si>
    <t>ctrl/cmd + c</t>
  </si>
  <si>
    <t>ctrl/cmd + v</t>
  </si>
  <si>
    <t>ctrl/cmd +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</si>
</sst>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1" xfId="0" applyFill="1" applyBorder="1"/>
    <xf numFmtId="0" fontId="0" fillId="3" borderId="1" xfId="0" quotePrefix="1" applyFill="1" applyBorder="1"/>
    <xf numFmtId="0" fontId="0" fillId="2" borderId="0" xfId="0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7BDA-BB2B-4D49-A5E7-72F2E7CB434F}">
  <dimension ref="A1:L31"/>
  <sheetViews>
    <sheetView tabSelected="1" zoomScale="120" zoomScaleNormal="120" workbookViewId="0">
      <selection activeCell="J25" sqref="J25"/>
    </sheetView>
  </sheetViews>
  <sheetFormatPr baseColWidth="10" defaultRowHeight="16" x14ac:dyDescent="0.2"/>
  <cols>
    <col min="1" max="7" width="10.83203125" style="1"/>
    <col min="8" max="8" width="21.83203125" style="1" bestFit="1" customWidth="1"/>
    <col min="9" max="9" width="46.6640625" style="1" bestFit="1" customWidth="1"/>
    <col min="10" max="10" width="26.83203125" style="1" bestFit="1" customWidth="1"/>
    <col min="11" max="11" width="15.6640625" style="1" bestFit="1" customWidth="1"/>
    <col min="12" max="16384" width="10.83203125" style="1"/>
  </cols>
  <sheetData>
    <row r="1" spans="1:12" x14ac:dyDescent="0.2">
      <c r="A1" s="2"/>
      <c r="B1" s="2" t="s">
        <v>30</v>
      </c>
      <c r="C1" s="2" t="s">
        <v>31</v>
      </c>
      <c r="D1" s="2" t="s">
        <v>32</v>
      </c>
      <c r="E1" s="2" t="s">
        <v>33</v>
      </c>
    </row>
    <row r="2" spans="1:12" ht="19" x14ac:dyDescent="0.25">
      <c r="A2" s="2" t="s">
        <v>0</v>
      </c>
      <c r="B2" s="2">
        <v>2</v>
      </c>
      <c r="C2" s="2">
        <v>0</v>
      </c>
      <c r="D2" s="2">
        <v>73</v>
      </c>
      <c r="E2" s="2">
        <v>-5</v>
      </c>
      <c r="H2" s="6" t="s">
        <v>34</v>
      </c>
      <c r="I2" s="6" t="s">
        <v>35</v>
      </c>
      <c r="J2" s="6" t="s">
        <v>36</v>
      </c>
      <c r="K2" s="6" t="s">
        <v>37</v>
      </c>
    </row>
    <row r="3" spans="1:12" x14ac:dyDescent="0.2">
      <c r="A3" s="2" t="s">
        <v>1</v>
      </c>
      <c r="B3" s="2">
        <v>3</v>
      </c>
      <c r="C3" s="2">
        <v>1</v>
      </c>
      <c r="D3" s="2">
        <v>85</v>
      </c>
      <c r="E3" s="2">
        <v>-3</v>
      </c>
      <c r="H3" s="3" t="s">
        <v>38</v>
      </c>
      <c r="I3" s="4" t="s">
        <v>48</v>
      </c>
      <c r="J3" s="4" t="s">
        <v>58</v>
      </c>
      <c r="K3" s="3">
        <f>SUM(B2:B31)</f>
        <v>81</v>
      </c>
    </row>
    <row r="4" spans="1:12" x14ac:dyDescent="0.2">
      <c r="A4" s="2" t="s">
        <v>2</v>
      </c>
      <c r="B4" s="2">
        <v>2</v>
      </c>
      <c r="C4" s="2">
        <v>0</v>
      </c>
      <c r="D4" s="2">
        <v>70</v>
      </c>
      <c r="E4" s="2">
        <v>-4</v>
      </c>
      <c r="H4" s="3" t="s">
        <v>39</v>
      </c>
      <c r="I4" s="4" t="s">
        <v>49</v>
      </c>
      <c r="J4" s="4" t="s">
        <v>67</v>
      </c>
      <c r="K4" s="3">
        <f>B2+B3</f>
        <v>5</v>
      </c>
    </row>
    <row r="5" spans="1:12" x14ac:dyDescent="0.2">
      <c r="A5" s="2" t="s">
        <v>3</v>
      </c>
      <c r="B5" s="2">
        <v>1</v>
      </c>
      <c r="C5" s="2">
        <v>1</v>
      </c>
      <c r="D5" s="2">
        <v>76</v>
      </c>
      <c r="E5" s="2">
        <v>-2</v>
      </c>
      <c r="H5" s="3" t="s">
        <v>40</v>
      </c>
      <c r="I5" s="4" t="s">
        <v>50</v>
      </c>
      <c r="J5" s="4" t="s">
        <v>59</v>
      </c>
      <c r="K5" s="3">
        <f>B2-B3</f>
        <v>-1</v>
      </c>
    </row>
    <row r="6" spans="1:12" x14ac:dyDescent="0.2">
      <c r="A6" s="2" t="s">
        <v>4</v>
      </c>
      <c r="B6" s="2">
        <v>2</v>
      </c>
      <c r="C6" s="2">
        <v>1</v>
      </c>
      <c r="D6" s="2">
        <v>62</v>
      </c>
      <c r="E6" s="2">
        <v>-2</v>
      </c>
      <c r="H6" s="3" t="s">
        <v>41</v>
      </c>
      <c r="I6" s="4" t="s">
        <v>51</v>
      </c>
      <c r="J6" s="4" t="s">
        <v>60</v>
      </c>
      <c r="K6" s="3">
        <f>B2*B3</f>
        <v>6</v>
      </c>
    </row>
    <row r="7" spans="1:12" x14ac:dyDescent="0.2">
      <c r="A7" s="2" t="s">
        <v>5</v>
      </c>
      <c r="B7" s="2">
        <v>3</v>
      </c>
      <c r="C7" s="2">
        <v>1</v>
      </c>
      <c r="D7" s="2">
        <v>28</v>
      </c>
      <c r="E7" s="2">
        <v>-1</v>
      </c>
      <c r="H7" s="3" t="s">
        <v>42</v>
      </c>
      <c r="I7" s="4" t="s">
        <v>52</v>
      </c>
      <c r="J7" s="4" t="s">
        <v>61</v>
      </c>
      <c r="K7" s="3">
        <f>B2/B3</f>
        <v>0.66666666666666663</v>
      </c>
    </row>
    <row r="8" spans="1:12" x14ac:dyDescent="0.2">
      <c r="A8" s="2" t="s">
        <v>6</v>
      </c>
      <c r="B8" s="2">
        <v>1</v>
      </c>
      <c r="C8" s="2">
        <v>0</v>
      </c>
      <c r="D8" s="2">
        <v>85</v>
      </c>
      <c r="E8" s="2">
        <v>-2</v>
      </c>
      <c r="H8" s="3" t="s">
        <v>43</v>
      </c>
      <c r="I8" s="4" t="s">
        <v>53</v>
      </c>
      <c r="J8" s="4" t="s">
        <v>62</v>
      </c>
      <c r="K8" s="3">
        <f>B2^B3</f>
        <v>8</v>
      </c>
    </row>
    <row r="9" spans="1:12" x14ac:dyDescent="0.2">
      <c r="A9" s="2" t="s">
        <v>7</v>
      </c>
      <c r="B9" s="2">
        <v>4</v>
      </c>
      <c r="C9" s="2">
        <v>0</v>
      </c>
      <c r="D9" s="2">
        <v>54</v>
      </c>
      <c r="E9" s="2">
        <v>-4</v>
      </c>
      <c r="H9" s="3" t="s">
        <v>44</v>
      </c>
      <c r="I9" s="4" t="s">
        <v>54</v>
      </c>
      <c r="J9" s="4" t="s">
        <v>63</v>
      </c>
      <c r="K9" s="3">
        <f>AVERAGE(B2:B31)</f>
        <v>2.7</v>
      </c>
    </row>
    <row r="10" spans="1:12" x14ac:dyDescent="0.2">
      <c r="A10" s="2" t="s">
        <v>8</v>
      </c>
      <c r="B10" s="2">
        <v>3</v>
      </c>
      <c r="C10" s="2">
        <v>0</v>
      </c>
      <c r="D10" s="2">
        <v>88</v>
      </c>
      <c r="E10" s="2">
        <v>-1</v>
      </c>
      <c r="H10" s="3" t="s">
        <v>45</v>
      </c>
      <c r="I10" s="4" t="s">
        <v>55</v>
      </c>
      <c r="J10" s="4" t="s">
        <v>64</v>
      </c>
      <c r="K10" s="3">
        <f>MEDIAN(B2:B31)</f>
        <v>3</v>
      </c>
    </row>
    <row r="11" spans="1:12" x14ac:dyDescent="0.2">
      <c r="A11" s="2" t="s">
        <v>9</v>
      </c>
      <c r="B11" s="2">
        <v>4</v>
      </c>
      <c r="C11" s="2">
        <v>1</v>
      </c>
      <c r="D11" s="2">
        <v>32</v>
      </c>
      <c r="E11" s="2">
        <v>-4</v>
      </c>
      <c r="H11" s="3" t="s">
        <v>46</v>
      </c>
      <c r="I11" s="4" t="s">
        <v>56</v>
      </c>
      <c r="J11" s="4" t="s">
        <v>65</v>
      </c>
      <c r="K11" s="3">
        <f>MAX(B2:B31)</f>
        <v>4</v>
      </c>
    </row>
    <row r="12" spans="1:12" x14ac:dyDescent="0.2">
      <c r="A12" s="2" t="s">
        <v>10</v>
      </c>
      <c r="B12" s="2">
        <v>4</v>
      </c>
      <c r="C12" s="2">
        <v>0</v>
      </c>
      <c r="D12" s="2">
        <v>55</v>
      </c>
      <c r="E12" s="2">
        <v>-3</v>
      </c>
      <c r="H12" s="3" t="s">
        <v>47</v>
      </c>
      <c r="I12" s="4" t="s">
        <v>57</v>
      </c>
      <c r="J12" s="4" t="s">
        <v>66</v>
      </c>
      <c r="K12" s="3">
        <f>MIN(B2:B31)</f>
        <v>1</v>
      </c>
    </row>
    <row r="13" spans="1:12" x14ac:dyDescent="0.2">
      <c r="A13" s="2" t="s">
        <v>11</v>
      </c>
      <c r="B13" s="2">
        <v>2</v>
      </c>
      <c r="C13" s="2">
        <v>0</v>
      </c>
      <c r="D13" s="2">
        <v>23</v>
      </c>
      <c r="E13" s="2">
        <v>-1</v>
      </c>
      <c r="H13" s="5"/>
      <c r="I13" s="5"/>
      <c r="J13" s="5"/>
      <c r="K13" s="5"/>
    </row>
    <row r="14" spans="1:12" ht="19" x14ac:dyDescent="0.25">
      <c r="A14" s="2" t="s">
        <v>12</v>
      </c>
      <c r="B14" s="2">
        <v>4</v>
      </c>
      <c r="C14" s="2">
        <v>1</v>
      </c>
      <c r="D14" s="2">
        <v>80</v>
      </c>
      <c r="E14" s="2">
        <v>-2</v>
      </c>
      <c r="H14" s="6" t="s">
        <v>68</v>
      </c>
      <c r="I14" s="6"/>
      <c r="J14" s="6"/>
      <c r="K14" s="6"/>
    </row>
    <row r="15" spans="1:12" ht="19" x14ac:dyDescent="0.25">
      <c r="A15" s="2" t="s">
        <v>13</v>
      </c>
      <c r="B15" s="2">
        <v>4</v>
      </c>
      <c r="C15" s="2">
        <v>0</v>
      </c>
      <c r="D15" s="2">
        <v>51</v>
      </c>
      <c r="E15" s="2">
        <v>-4</v>
      </c>
      <c r="H15" s="6" t="s">
        <v>34</v>
      </c>
      <c r="I15" s="6" t="s">
        <v>35</v>
      </c>
      <c r="J15" s="6" t="s">
        <v>36</v>
      </c>
      <c r="K15" s="6" t="s">
        <v>37</v>
      </c>
    </row>
    <row r="16" spans="1:12" x14ac:dyDescent="0.2">
      <c r="A16" s="2" t="s">
        <v>14</v>
      </c>
      <c r="B16" s="2">
        <v>4</v>
      </c>
      <c r="C16" s="2">
        <v>0</v>
      </c>
      <c r="D16" s="2">
        <v>27</v>
      </c>
      <c r="E16" s="2">
        <v>-2</v>
      </c>
      <c r="H16" s="3" t="s">
        <v>69</v>
      </c>
      <c r="I16" s="4" t="s">
        <v>71</v>
      </c>
      <c r="J16" s="4" t="s">
        <v>72</v>
      </c>
      <c r="K16" s="4" t="str">
        <f>IF(B2&gt;0, "Wow", "Not wow")</f>
        <v>Wow</v>
      </c>
      <c r="L16" s="1" t="s">
        <v>73</v>
      </c>
    </row>
    <row r="17" spans="1:9" x14ac:dyDescent="0.2">
      <c r="A17" s="2" t="s">
        <v>15</v>
      </c>
      <c r="B17" s="2">
        <v>2</v>
      </c>
      <c r="C17" s="2">
        <v>0</v>
      </c>
      <c r="D17" s="2">
        <v>26</v>
      </c>
      <c r="E17" s="2">
        <v>-2</v>
      </c>
    </row>
    <row r="18" spans="1:9" x14ac:dyDescent="0.2">
      <c r="A18" s="2" t="s">
        <v>16</v>
      </c>
      <c r="B18" s="2">
        <v>4</v>
      </c>
      <c r="C18" s="2">
        <v>0</v>
      </c>
      <c r="D18" s="2">
        <v>53</v>
      </c>
      <c r="E18" s="2">
        <v>-1</v>
      </c>
    </row>
    <row r="19" spans="1:9" ht="19" x14ac:dyDescent="0.25">
      <c r="A19" s="2" t="s">
        <v>17</v>
      </c>
      <c r="B19" s="2">
        <v>4</v>
      </c>
      <c r="C19" s="2">
        <v>0</v>
      </c>
      <c r="D19" s="2">
        <v>35</v>
      </c>
      <c r="E19" s="2">
        <v>-3</v>
      </c>
      <c r="H19" s="6" t="s">
        <v>70</v>
      </c>
      <c r="I19" s="3"/>
    </row>
    <row r="20" spans="1:9" x14ac:dyDescent="0.2">
      <c r="A20" s="2" t="s">
        <v>18</v>
      </c>
      <c r="B20" s="2">
        <v>2</v>
      </c>
      <c r="C20" s="2">
        <v>0</v>
      </c>
      <c r="D20" s="2">
        <v>35</v>
      </c>
      <c r="E20" s="2">
        <v>-1</v>
      </c>
      <c r="H20" s="3" t="s">
        <v>74</v>
      </c>
      <c r="I20" s="3" t="s">
        <v>81</v>
      </c>
    </row>
    <row r="21" spans="1:9" x14ac:dyDescent="0.2">
      <c r="A21" s="2" t="s">
        <v>19</v>
      </c>
      <c r="B21" s="2">
        <v>1</v>
      </c>
      <c r="C21" s="2">
        <v>0</v>
      </c>
      <c r="D21" s="2">
        <v>61</v>
      </c>
      <c r="E21" s="2">
        <v>-2</v>
      </c>
      <c r="H21" s="3" t="s">
        <v>75</v>
      </c>
      <c r="I21" s="3" t="s">
        <v>82</v>
      </c>
    </row>
    <row r="22" spans="1:9" x14ac:dyDescent="0.2">
      <c r="A22" s="2" t="s">
        <v>20</v>
      </c>
      <c r="B22" s="2">
        <v>4</v>
      </c>
      <c r="C22" s="2">
        <v>1</v>
      </c>
      <c r="D22" s="2">
        <v>63</v>
      </c>
      <c r="E22" s="2">
        <v>-5</v>
      </c>
      <c r="H22" s="3" t="s">
        <v>84</v>
      </c>
      <c r="I22" s="3" t="s">
        <v>86</v>
      </c>
    </row>
    <row r="23" spans="1:9" x14ac:dyDescent="0.2">
      <c r="A23" s="2" t="s">
        <v>21</v>
      </c>
      <c r="B23" s="2">
        <v>4</v>
      </c>
      <c r="C23" s="2">
        <v>1</v>
      </c>
      <c r="D23" s="2">
        <v>68</v>
      </c>
      <c r="E23" s="2">
        <v>-4</v>
      </c>
      <c r="H23" s="3" t="s">
        <v>76</v>
      </c>
      <c r="I23" s="3" t="s">
        <v>83</v>
      </c>
    </row>
    <row r="24" spans="1:9" x14ac:dyDescent="0.2">
      <c r="A24" s="2" t="s">
        <v>22</v>
      </c>
      <c r="B24" s="2">
        <v>4</v>
      </c>
      <c r="C24" s="2">
        <v>0</v>
      </c>
      <c r="D24" s="2">
        <v>64</v>
      </c>
      <c r="E24" s="2">
        <v>-3</v>
      </c>
      <c r="H24" s="3" t="s">
        <v>85</v>
      </c>
      <c r="I24" s="3" t="s">
        <v>87</v>
      </c>
    </row>
    <row r="25" spans="1:9" x14ac:dyDescent="0.2">
      <c r="A25" s="2" t="s">
        <v>23</v>
      </c>
      <c r="B25" s="2">
        <v>1</v>
      </c>
      <c r="C25" s="2">
        <v>0</v>
      </c>
      <c r="D25" s="2">
        <v>46</v>
      </c>
      <c r="E25" s="2">
        <v>-4</v>
      </c>
      <c r="H25" s="3" t="s">
        <v>88</v>
      </c>
      <c r="I25" s="3" t="s">
        <v>89</v>
      </c>
    </row>
    <row r="26" spans="1:9" x14ac:dyDescent="0.2">
      <c r="A26" s="2" t="s">
        <v>24</v>
      </c>
      <c r="B26" s="2">
        <v>1</v>
      </c>
      <c r="C26" s="2">
        <v>1</v>
      </c>
      <c r="D26" s="2">
        <v>26</v>
      </c>
      <c r="E26" s="2">
        <v>-5</v>
      </c>
      <c r="H26" s="3" t="s">
        <v>77</v>
      </c>
      <c r="I26" s="3" t="s">
        <v>90</v>
      </c>
    </row>
    <row r="27" spans="1:9" x14ac:dyDescent="0.2">
      <c r="A27" s="2" t="s">
        <v>25</v>
      </c>
      <c r="B27" s="2">
        <v>3</v>
      </c>
      <c r="C27" s="2">
        <v>0</v>
      </c>
      <c r="D27" s="2">
        <v>51</v>
      </c>
      <c r="E27" s="2">
        <v>-1</v>
      </c>
      <c r="H27" s="3" t="s">
        <v>78</v>
      </c>
      <c r="I27" s="3" t="s">
        <v>91</v>
      </c>
    </row>
    <row r="28" spans="1:9" x14ac:dyDescent="0.2">
      <c r="A28" s="2" t="s">
        <v>26</v>
      </c>
      <c r="B28" s="2">
        <v>4</v>
      </c>
      <c r="C28" s="2">
        <v>1</v>
      </c>
      <c r="D28" s="2">
        <v>54</v>
      </c>
      <c r="E28" s="2">
        <v>-1</v>
      </c>
      <c r="H28" s="3" t="s">
        <v>79</v>
      </c>
      <c r="I28" s="3" t="s">
        <v>92</v>
      </c>
    </row>
    <row r="29" spans="1:9" x14ac:dyDescent="0.2">
      <c r="A29" s="2" t="s">
        <v>27</v>
      </c>
      <c r="B29" s="2">
        <v>1</v>
      </c>
      <c r="C29" s="2">
        <v>0</v>
      </c>
      <c r="D29" s="2">
        <v>52</v>
      </c>
      <c r="E29" s="2">
        <v>-3</v>
      </c>
      <c r="H29" s="3" t="s">
        <v>80</v>
      </c>
      <c r="I29" s="3" t="s">
        <v>93</v>
      </c>
    </row>
    <row r="30" spans="1:9" x14ac:dyDescent="0.2">
      <c r="A30" s="2" t="s">
        <v>28</v>
      </c>
      <c r="B30" s="2">
        <v>2</v>
      </c>
      <c r="C30" s="2">
        <v>0</v>
      </c>
      <c r="D30" s="2">
        <v>30</v>
      </c>
      <c r="E30" s="2">
        <v>-3</v>
      </c>
    </row>
    <row r="31" spans="1:9" x14ac:dyDescent="0.2">
      <c r="A31" s="2" t="s">
        <v>29</v>
      </c>
      <c r="B31" s="2">
        <v>1</v>
      </c>
      <c r="C31" s="2">
        <v>0</v>
      </c>
      <c r="D31" s="2">
        <v>87</v>
      </c>
      <c r="E31" s="2">
        <v>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2019-12-13T19:04:11Z</dcterms:created>
  <dcterms:modified xsi:type="dcterms:W3CDTF">2019-12-13T19:25:50Z</dcterms:modified>
</cp:coreProperties>
</file>