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5 - Model Specifications/"/>
    </mc:Choice>
  </mc:AlternateContent>
  <xr:revisionPtr revIDLastSave="0" documentId="13_ncr:1_{F60532D2-FAF5-184E-96EB-024EF938DB6C}" xr6:coauthVersionLast="45" xr6:coauthVersionMax="45" xr10:uidLastSave="{00000000-0000-0000-0000-000000000000}"/>
  <bookViews>
    <workbookView xWindow="0" yWindow="460" windowWidth="38400" windowHeight="22720" activeTab="1" xr2:uid="{00000000-000D-0000-FFFF-FFFF00000000}"/>
  </bookViews>
  <sheets>
    <sheet name="Soybean production" sheetId="1" r:id="rId1"/>
    <sheet name="Corn Produ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0" i="1" l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<sst xmlns="http://schemas.openxmlformats.org/spreadsheetml/2006/main" count="135" uniqueCount="42">
  <si>
    <t>YEAR</t>
  </si>
  <si>
    <t>LOCATION</t>
  </si>
  <si>
    <t>STATE ANSI</t>
  </si>
  <si>
    <t>COMMODITY</t>
  </si>
  <si>
    <t>ALABAMA</t>
  </si>
  <si>
    <t>SOYBEANS</t>
  </si>
  <si>
    <t>ARKANSAS</t>
  </si>
  <si>
    <t>DELAWARE</t>
  </si>
  <si>
    <t>GEORGIA</t>
  </si>
  <si>
    <t>ILLINOIS</t>
  </si>
  <si>
    <t>INDIANA</t>
  </si>
  <si>
    <t>IOWA</t>
  </si>
  <si>
    <t>KANSAS</t>
  </si>
  <si>
    <t>KENTUCKY</t>
  </si>
  <si>
    <t>LOUISIANA</t>
  </si>
  <si>
    <t>MARYLAND</t>
  </si>
  <si>
    <t>MICHIGAN</t>
  </si>
  <si>
    <t>MINNESOTA</t>
  </si>
  <si>
    <t>MISSISSIPPI</t>
  </si>
  <si>
    <t>MISSOURI</t>
  </si>
  <si>
    <t>NEBRASKA</t>
  </si>
  <si>
    <t>NEW JERSEY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</si>
  <si>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</si>
  <si>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</si>
  <si>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</si>
  <si>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</si>
  <si>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</si>
  <si>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</si>
  <si>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</si>
  <si>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</si>
  <si>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</si>
  <si>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</si>
  <si>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>VIRGINIA</t>
  </si>
  <si>
    <t>WISCONSIN</t>
  </si>
  <si>
    <t>Labor (Hrs/week)</t>
  </si>
  <si>
    <t>Total Yield (bu/acre)</t>
  </si>
  <si>
    <t>Area Planted (acres)</t>
  </si>
  <si>
    <t>Area harvested (acres)</t>
  </si>
  <si>
    <t>Total Capital Inputs ($/acre)</t>
  </si>
  <si>
    <t>NPK_Restriction</t>
  </si>
  <si>
    <t>Water (thousands of acre-feet)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</si>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</sst>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sqref="A1:K30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36</v>
      </c>
      <c r="G1" t="s">
        <v>35</v>
      </c>
      <c r="H1" t="s">
        <v>38</v>
      </c>
      <c r="I1" t="s">
        <v>34</v>
      </c>
      <c r="J1" t="s">
        <v>39</v>
      </c>
      <c r="K1" t="s">
        <v>40</v>
      </c>
    </row>
    <row r="2" spans="1:11">
      <c r="A2">
        <v>2019</v>
      </c>
      <c r="B2" t="s">
        <v>4</v>
      </c>
      <c r="C2">
        <v>1</v>
      </c>
      <c r="D2" t="s">
        <v>5</v>
      </c>
      <c r="E2" s="1">
        <v>260000</v>
      </c>
      <c r="F2" s="1">
        <v>265000</v>
      </c>
      <c r="G2">
        <v>228.80292561102112</v>
      </c>
      <c r="H2">
        <v>111</v>
      </c>
      <c r="I2">
        <v>45</v>
      </c>
      <c r="J2">
        <v>0</v>
      </c>
      <c r="K2">
        <f ca="1">RANDBETWEEN(10, 400)</f>
        <v>167</v>
      </c>
    </row>
    <row r="3" spans="1:11">
      <c r="A3">
        <v>2019</v>
      </c>
      <c r="B3" t="s">
        <v>6</v>
      </c>
      <c r="C3">
        <v>5</v>
      </c>
      <c r="D3" t="s">
        <v>5</v>
      </c>
      <c r="E3" s="1">
        <v>2610000</v>
      </c>
      <c r="F3" s="1">
        <v>2650000</v>
      </c>
      <c r="G3">
        <v>135.18163230747183</v>
      </c>
      <c r="H3">
        <v>40</v>
      </c>
      <c r="I3">
        <v>45</v>
      </c>
      <c r="J3">
        <v>0</v>
      </c>
      <c r="K3">
        <f t="shared" ref="K3:K30" ca="1" si="0">RANDBETWEEN(10, 400)</f>
        <v>162</v>
      </c>
    </row>
    <row r="4" spans="1:11">
      <c r="A4">
        <v>2019</v>
      </c>
      <c r="B4" t="s">
        <v>7</v>
      </c>
      <c r="C4">
        <v>10</v>
      </c>
      <c r="D4" t="s">
        <v>5</v>
      </c>
      <c r="E4" s="1">
        <v>153000</v>
      </c>
      <c r="F4" s="1">
        <v>155000</v>
      </c>
      <c r="G4">
        <v>193.16630298398184</v>
      </c>
      <c r="H4">
        <v>87</v>
      </c>
      <c r="I4">
        <v>43</v>
      </c>
      <c r="J4">
        <v>1</v>
      </c>
      <c r="K4">
        <f t="shared" ca="1" si="0"/>
        <v>235</v>
      </c>
    </row>
    <row r="5" spans="1:11">
      <c r="A5">
        <v>2019</v>
      </c>
      <c r="B5" t="s">
        <v>8</v>
      </c>
      <c r="C5">
        <v>13</v>
      </c>
      <c r="D5" t="s">
        <v>5</v>
      </c>
      <c r="E5" s="1">
        <v>93000</v>
      </c>
      <c r="F5" s="1">
        <v>100000</v>
      </c>
      <c r="G5">
        <v>178.22700658144743</v>
      </c>
      <c r="H5">
        <v>88.5</v>
      </c>
      <c r="I5">
        <v>38</v>
      </c>
      <c r="J5">
        <v>1</v>
      </c>
      <c r="K5">
        <f t="shared" ca="1" si="0"/>
        <v>359</v>
      </c>
    </row>
    <row r="6" spans="1:11">
      <c r="A6">
        <v>2019</v>
      </c>
      <c r="B6" t="s">
        <v>9</v>
      </c>
      <c r="C6">
        <v>17</v>
      </c>
      <c r="D6" t="s">
        <v>5</v>
      </c>
      <c r="E6" s="1">
        <v>9860000</v>
      </c>
      <c r="F6" s="1">
        <v>9950000</v>
      </c>
      <c r="G6">
        <v>304.66400228394781</v>
      </c>
      <c r="H6">
        <v>203</v>
      </c>
      <c r="I6">
        <v>45</v>
      </c>
      <c r="J6">
        <v>0</v>
      </c>
      <c r="K6">
        <f t="shared" ca="1" si="0"/>
        <v>60</v>
      </c>
    </row>
    <row r="7" spans="1:11">
      <c r="A7">
        <v>2019</v>
      </c>
      <c r="B7" t="s">
        <v>10</v>
      </c>
      <c r="C7">
        <v>18</v>
      </c>
      <c r="D7" t="s">
        <v>5</v>
      </c>
      <c r="E7" s="1">
        <v>5360000</v>
      </c>
      <c r="F7" s="1">
        <v>5400000</v>
      </c>
      <c r="G7">
        <v>268.66728551128688</v>
      </c>
      <c r="H7">
        <v>203</v>
      </c>
      <c r="I7">
        <v>38</v>
      </c>
      <c r="J7">
        <v>1</v>
      </c>
      <c r="K7">
        <f t="shared" ca="1" si="0"/>
        <v>208</v>
      </c>
    </row>
    <row r="8" spans="1:11">
      <c r="A8">
        <v>2019</v>
      </c>
      <c r="B8" t="s">
        <v>11</v>
      </c>
      <c r="C8">
        <v>19</v>
      </c>
      <c r="D8" t="s">
        <v>5</v>
      </c>
      <c r="E8" s="1">
        <v>9120000</v>
      </c>
      <c r="F8" s="1">
        <v>9200000</v>
      </c>
      <c r="G8">
        <v>309.51268029316958</v>
      </c>
      <c r="H8">
        <v>203</v>
      </c>
      <c r="I8">
        <v>45</v>
      </c>
      <c r="J8">
        <v>1</v>
      </c>
      <c r="K8">
        <f t="shared" ca="1" si="0"/>
        <v>242</v>
      </c>
    </row>
    <row r="9" spans="1:11">
      <c r="A9">
        <v>2019</v>
      </c>
      <c r="B9" t="s">
        <v>12</v>
      </c>
      <c r="C9">
        <v>20</v>
      </c>
      <c r="D9" t="s">
        <v>5</v>
      </c>
      <c r="E9" s="1">
        <v>4490000</v>
      </c>
      <c r="F9" s="1">
        <v>4550000</v>
      </c>
      <c r="G9">
        <v>120.3792323522495</v>
      </c>
      <c r="H9">
        <v>40</v>
      </c>
      <c r="I9">
        <v>38</v>
      </c>
      <c r="J9">
        <v>1</v>
      </c>
      <c r="K9">
        <f t="shared" ca="1" si="0"/>
        <v>331</v>
      </c>
    </row>
    <row r="10" spans="1:11">
      <c r="A10">
        <v>2019</v>
      </c>
      <c r="B10" t="s">
        <v>13</v>
      </c>
      <c r="C10">
        <v>21</v>
      </c>
      <c r="D10" t="s">
        <v>5</v>
      </c>
      <c r="E10" s="1">
        <v>1690000</v>
      </c>
      <c r="F10" s="1">
        <v>1700000</v>
      </c>
      <c r="G10">
        <v>222.81681397202425</v>
      </c>
      <c r="H10">
        <v>103</v>
      </c>
      <c r="I10">
        <v>45</v>
      </c>
      <c r="J10">
        <v>1</v>
      </c>
      <c r="K10">
        <f t="shared" ca="1" si="0"/>
        <v>104</v>
      </c>
    </row>
    <row r="11" spans="1:11">
      <c r="A11">
        <v>2019</v>
      </c>
      <c r="B11" t="s">
        <v>14</v>
      </c>
      <c r="C11">
        <v>22</v>
      </c>
      <c r="D11" t="s">
        <v>5</v>
      </c>
      <c r="E11" s="1">
        <v>860000</v>
      </c>
      <c r="F11" s="1">
        <v>890000</v>
      </c>
      <c r="G11">
        <v>218.2408667202819</v>
      </c>
      <c r="H11">
        <v>111</v>
      </c>
      <c r="I11">
        <v>42</v>
      </c>
      <c r="J11">
        <v>1</v>
      </c>
      <c r="K11">
        <f t="shared" ca="1" si="0"/>
        <v>251</v>
      </c>
    </row>
    <row r="12" spans="1:11">
      <c r="A12">
        <v>2019</v>
      </c>
      <c r="B12" t="s">
        <v>15</v>
      </c>
      <c r="C12">
        <v>24</v>
      </c>
      <c r="D12" t="s">
        <v>5</v>
      </c>
      <c r="E12" s="1">
        <v>475000</v>
      </c>
      <c r="F12" s="1">
        <v>480000</v>
      </c>
      <c r="G12">
        <v>198.35239343502846</v>
      </c>
      <c r="H12">
        <v>103</v>
      </c>
      <c r="I12">
        <v>39</v>
      </c>
      <c r="J12">
        <v>1</v>
      </c>
      <c r="K12">
        <f t="shared" ca="1" si="0"/>
        <v>165</v>
      </c>
    </row>
    <row r="13" spans="1:11">
      <c r="A13">
        <v>2019</v>
      </c>
      <c r="B13" t="s">
        <v>16</v>
      </c>
      <c r="C13">
        <v>26</v>
      </c>
      <c r="D13" t="s">
        <v>5</v>
      </c>
      <c r="E13" s="1">
        <v>1730000</v>
      </c>
      <c r="F13" s="1">
        <v>1760000</v>
      </c>
      <c r="G13">
        <v>260.53939450016605</v>
      </c>
      <c r="H13">
        <v>153</v>
      </c>
      <c r="I13">
        <v>45</v>
      </c>
      <c r="J13">
        <v>0</v>
      </c>
      <c r="K13">
        <f t="shared" ca="1" si="0"/>
        <v>225</v>
      </c>
    </row>
    <row r="14" spans="1:11">
      <c r="A14">
        <v>2019</v>
      </c>
      <c r="B14" t="s">
        <v>17</v>
      </c>
      <c r="C14">
        <v>27</v>
      </c>
      <c r="D14" t="s">
        <v>5</v>
      </c>
      <c r="E14" s="1">
        <v>6770000</v>
      </c>
      <c r="F14" s="1">
        <v>6850000</v>
      </c>
      <c r="G14">
        <v>302.39510930257239</v>
      </c>
      <c r="H14">
        <v>203</v>
      </c>
      <c r="I14">
        <v>44</v>
      </c>
      <c r="J14">
        <v>1</v>
      </c>
      <c r="K14">
        <f t="shared" ca="1" si="0"/>
        <v>32</v>
      </c>
    </row>
    <row r="15" spans="1:11">
      <c r="A15">
        <v>2019</v>
      </c>
      <c r="B15" t="s">
        <v>18</v>
      </c>
      <c r="C15">
        <v>28</v>
      </c>
      <c r="D15" t="s">
        <v>5</v>
      </c>
      <c r="E15" s="1">
        <v>1630000</v>
      </c>
      <c r="F15" s="1">
        <v>1660000</v>
      </c>
      <c r="G15">
        <v>220.38562279395933</v>
      </c>
      <c r="H15">
        <v>111</v>
      </c>
      <c r="I15">
        <v>42</v>
      </c>
      <c r="J15">
        <v>1</v>
      </c>
      <c r="K15">
        <f t="shared" ca="1" si="0"/>
        <v>361</v>
      </c>
    </row>
    <row r="16" spans="1:11">
      <c r="A16">
        <v>2019</v>
      </c>
      <c r="B16" t="s">
        <v>19</v>
      </c>
      <c r="C16">
        <v>29</v>
      </c>
      <c r="D16" t="s">
        <v>5</v>
      </c>
      <c r="E16" s="1">
        <v>5010000</v>
      </c>
      <c r="F16" s="1">
        <v>5100000</v>
      </c>
      <c r="G16">
        <v>123.35549465560509</v>
      </c>
      <c r="H16">
        <v>40</v>
      </c>
      <c r="I16">
        <v>39</v>
      </c>
      <c r="J16">
        <v>0</v>
      </c>
      <c r="K16">
        <f t="shared" ca="1" si="0"/>
        <v>300</v>
      </c>
    </row>
    <row r="17" spans="1:11">
      <c r="A17">
        <v>2019</v>
      </c>
      <c r="B17" t="s">
        <v>20</v>
      </c>
      <c r="C17">
        <v>31</v>
      </c>
      <c r="D17" t="s">
        <v>5</v>
      </c>
      <c r="E17" s="1">
        <v>4840000</v>
      </c>
      <c r="F17" s="1">
        <v>4900000</v>
      </c>
      <c r="G17">
        <v>199.4254948295615</v>
      </c>
      <c r="H17">
        <v>106</v>
      </c>
      <c r="I17">
        <v>39</v>
      </c>
      <c r="J17">
        <v>1</v>
      </c>
      <c r="K17">
        <f t="shared" ca="1" si="0"/>
        <v>109</v>
      </c>
    </row>
    <row r="18" spans="1:11">
      <c r="A18">
        <v>2019</v>
      </c>
      <c r="B18" t="s">
        <v>21</v>
      </c>
      <c r="C18">
        <v>34</v>
      </c>
      <c r="D18" t="s">
        <v>5</v>
      </c>
      <c r="E18" s="1">
        <v>92000</v>
      </c>
      <c r="F18" s="1">
        <v>95000</v>
      </c>
      <c r="G18">
        <v>199.2274163376018</v>
      </c>
      <c r="H18">
        <v>87</v>
      </c>
      <c r="I18">
        <v>44</v>
      </c>
      <c r="J18">
        <v>0</v>
      </c>
      <c r="K18">
        <f t="shared" ca="1" si="0"/>
        <v>246</v>
      </c>
    </row>
    <row r="19" spans="1:11">
      <c r="A19">
        <v>2019</v>
      </c>
      <c r="B19" t="s">
        <v>22</v>
      </c>
      <c r="C19">
        <v>36</v>
      </c>
      <c r="D19" t="s">
        <v>5</v>
      </c>
      <c r="E19" s="1">
        <v>225000</v>
      </c>
      <c r="F19" s="1">
        <v>235000</v>
      </c>
      <c r="G19">
        <v>202.17150382289537</v>
      </c>
      <c r="H19">
        <v>87</v>
      </c>
      <c r="I19">
        <v>45</v>
      </c>
      <c r="J19">
        <v>1</v>
      </c>
      <c r="K19">
        <f t="shared" ca="1" si="0"/>
        <v>346</v>
      </c>
    </row>
    <row r="20" spans="1:11">
      <c r="A20">
        <v>2019</v>
      </c>
      <c r="B20" t="s">
        <v>23</v>
      </c>
      <c r="C20">
        <v>37</v>
      </c>
      <c r="D20" t="s">
        <v>5</v>
      </c>
      <c r="E20" s="1">
        <v>1520000</v>
      </c>
      <c r="F20" s="1">
        <v>1540000</v>
      </c>
      <c r="G20">
        <v>181.43516400902192</v>
      </c>
      <c r="H20">
        <v>88.5</v>
      </c>
      <c r="I20">
        <v>39</v>
      </c>
      <c r="J20">
        <v>0</v>
      </c>
      <c r="K20">
        <f t="shared" ca="1" si="0"/>
        <v>126</v>
      </c>
    </row>
    <row r="21" spans="1:11">
      <c r="A21">
        <v>2019</v>
      </c>
      <c r="B21" t="s">
        <v>24</v>
      </c>
      <c r="C21">
        <v>38</v>
      </c>
      <c r="D21" t="s">
        <v>5</v>
      </c>
      <c r="E21" s="1">
        <v>5450000</v>
      </c>
      <c r="F21" s="1">
        <v>5600000</v>
      </c>
      <c r="G21">
        <v>215.32293413422232</v>
      </c>
      <c r="H21">
        <v>106</v>
      </c>
      <c r="I21">
        <v>43</v>
      </c>
      <c r="J21">
        <v>1</v>
      </c>
      <c r="K21">
        <f t="shared" ca="1" si="0"/>
        <v>198</v>
      </c>
    </row>
    <row r="22" spans="1:11">
      <c r="A22">
        <v>2019</v>
      </c>
      <c r="B22" t="s">
        <v>25</v>
      </c>
      <c r="C22">
        <v>39</v>
      </c>
      <c r="D22" t="s">
        <v>5</v>
      </c>
      <c r="E22" s="1">
        <v>4270000</v>
      </c>
      <c r="F22" s="1">
        <v>4300000</v>
      </c>
      <c r="G22">
        <v>276.18797646098858</v>
      </c>
      <c r="H22">
        <v>203</v>
      </c>
      <c r="I22">
        <v>39</v>
      </c>
      <c r="J22">
        <v>0</v>
      </c>
      <c r="K22">
        <f t="shared" ca="1" si="0"/>
        <v>146</v>
      </c>
    </row>
    <row r="23" spans="1:11">
      <c r="A23">
        <v>2019</v>
      </c>
      <c r="B23" t="s">
        <v>26</v>
      </c>
      <c r="C23">
        <v>40</v>
      </c>
      <c r="D23" t="s">
        <v>5</v>
      </c>
      <c r="E23" s="1">
        <v>440000</v>
      </c>
      <c r="F23" s="1">
        <v>465000</v>
      </c>
      <c r="G23">
        <v>125.04063371454357</v>
      </c>
      <c r="H23">
        <v>40</v>
      </c>
      <c r="I23">
        <v>40</v>
      </c>
      <c r="J23">
        <v>1</v>
      </c>
      <c r="K23">
        <f t="shared" ca="1" si="0"/>
        <v>364</v>
      </c>
    </row>
    <row r="24" spans="1:11">
      <c r="A24">
        <v>2019</v>
      </c>
      <c r="B24" t="s">
        <v>27</v>
      </c>
      <c r="C24">
        <v>42</v>
      </c>
      <c r="D24" t="s">
        <v>5</v>
      </c>
      <c r="E24" s="1">
        <v>610000</v>
      </c>
      <c r="F24" s="1">
        <v>620000</v>
      </c>
      <c r="G24">
        <v>213.18313351687419</v>
      </c>
      <c r="H24">
        <v>103</v>
      </c>
      <c r="I24">
        <v>44</v>
      </c>
      <c r="J24">
        <v>1</v>
      </c>
      <c r="K24">
        <f t="shared" ca="1" si="0"/>
        <v>149</v>
      </c>
    </row>
    <row r="25" spans="1:11">
      <c r="A25">
        <v>2019</v>
      </c>
      <c r="B25" t="s">
        <v>28</v>
      </c>
      <c r="C25">
        <v>45</v>
      </c>
      <c r="D25" t="s">
        <v>5</v>
      </c>
      <c r="E25" s="1">
        <v>320000</v>
      </c>
      <c r="F25" s="1">
        <v>335000</v>
      </c>
      <c r="G25">
        <v>202.3350291913633</v>
      </c>
      <c r="H25">
        <v>88.5</v>
      </c>
      <c r="I25">
        <v>45</v>
      </c>
      <c r="J25">
        <v>0</v>
      </c>
      <c r="K25">
        <f t="shared" ca="1" si="0"/>
        <v>251</v>
      </c>
    </row>
    <row r="26" spans="1:11">
      <c r="A26">
        <v>2019</v>
      </c>
      <c r="B26" t="s">
        <v>29</v>
      </c>
      <c r="C26">
        <v>46</v>
      </c>
      <c r="D26" t="s">
        <v>5</v>
      </c>
      <c r="E26" s="1">
        <v>3440000</v>
      </c>
      <c r="F26" s="1">
        <v>3500000</v>
      </c>
      <c r="G26">
        <v>293.93867717533141</v>
      </c>
      <c r="H26">
        <v>203</v>
      </c>
      <c r="I26">
        <v>43</v>
      </c>
      <c r="J26">
        <v>0</v>
      </c>
      <c r="K26">
        <f t="shared" ca="1" si="0"/>
        <v>381</v>
      </c>
    </row>
    <row r="27" spans="1:11">
      <c r="A27">
        <v>2019</v>
      </c>
      <c r="B27" t="s">
        <v>30</v>
      </c>
      <c r="C27">
        <v>47</v>
      </c>
      <c r="D27" t="s">
        <v>5</v>
      </c>
      <c r="E27" s="1">
        <v>1370000</v>
      </c>
      <c r="F27" s="1">
        <v>1400000</v>
      </c>
      <c r="G27">
        <v>199.12912331829043</v>
      </c>
      <c r="H27">
        <v>88.5</v>
      </c>
      <c r="I27">
        <v>44</v>
      </c>
      <c r="J27">
        <v>0</v>
      </c>
      <c r="K27">
        <f t="shared" ca="1" si="0"/>
        <v>196</v>
      </c>
    </row>
    <row r="28" spans="1:11">
      <c r="A28">
        <v>2019</v>
      </c>
      <c r="B28" t="s">
        <v>31</v>
      </c>
      <c r="C28">
        <v>48</v>
      </c>
      <c r="D28" t="s">
        <v>5</v>
      </c>
      <c r="E28" s="1">
        <v>73000</v>
      </c>
      <c r="F28" s="1">
        <v>80000</v>
      </c>
      <c r="G28">
        <v>128.16414848591074</v>
      </c>
      <c r="H28">
        <v>40</v>
      </c>
      <c r="I28">
        <v>41</v>
      </c>
      <c r="J28">
        <v>0</v>
      </c>
      <c r="K28">
        <f t="shared" ca="1" si="0"/>
        <v>151</v>
      </c>
    </row>
    <row r="29" spans="1:11">
      <c r="A29">
        <v>2019</v>
      </c>
      <c r="B29" t="s">
        <v>32</v>
      </c>
      <c r="C29">
        <v>51</v>
      </c>
      <c r="D29" t="s">
        <v>5</v>
      </c>
      <c r="E29" s="1">
        <v>560000</v>
      </c>
      <c r="F29" s="1">
        <v>570000</v>
      </c>
      <c r="G29">
        <v>216.46929813827708</v>
      </c>
      <c r="H29">
        <v>103</v>
      </c>
      <c r="I29">
        <v>44</v>
      </c>
      <c r="J29">
        <v>1</v>
      </c>
      <c r="K29">
        <f t="shared" ca="1" si="0"/>
        <v>329</v>
      </c>
    </row>
    <row r="30" spans="1:11">
      <c r="A30">
        <v>2019</v>
      </c>
      <c r="B30" t="s">
        <v>33</v>
      </c>
      <c r="C30">
        <v>55</v>
      </c>
      <c r="D30" t="s">
        <v>5</v>
      </c>
      <c r="E30" s="1">
        <v>1700000</v>
      </c>
      <c r="F30" s="1">
        <v>1750000</v>
      </c>
      <c r="G30">
        <v>274.51552302698263</v>
      </c>
      <c r="H30">
        <v>203</v>
      </c>
      <c r="I30">
        <v>38</v>
      </c>
      <c r="J30">
        <v>0</v>
      </c>
      <c r="K30">
        <f t="shared" ca="1" si="0"/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545-3298-CB42-8ED3-348F2AD24004}">
  <dimension ref="A1:H30"/>
  <sheetViews>
    <sheetView tabSelected="1" workbookViewId="0">
      <selection activeCell="R18" sqref="R18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36</v>
      </c>
      <c r="G1" t="s">
        <v>35</v>
      </c>
      <c r="H1" t="s">
        <v>40</v>
      </c>
    </row>
    <row r="2" spans="1:8">
      <c r="A2">
        <v>2019</v>
      </c>
      <c r="B2" t="s">
        <v>4</v>
      </c>
      <c r="C2">
        <v>1</v>
      </c>
      <c r="D2" t="s">
        <v>41</v>
      </c>
      <c r="E2" s="1">
        <v>260000</v>
      </c>
      <c r="F2" s="1">
        <v>265000</v>
      </c>
      <c r="G2">
        <v>230.82473398107138</v>
      </c>
      <c r="H2">
        <v>77</v>
      </c>
    </row>
    <row r="3" spans="1:8">
      <c r="A3">
        <v>2019</v>
      </c>
      <c r="B3" t="s">
        <v>6</v>
      </c>
      <c r="C3">
        <v>5</v>
      </c>
      <c r="D3" t="s">
        <v>41</v>
      </c>
      <c r="E3" s="1">
        <v>2610000</v>
      </c>
      <c r="F3" s="1">
        <v>2650000</v>
      </c>
      <c r="G3">
        <v>235.48042573477585</v>
      </c>
      <c r="H3">
        <v>155</v>
      </c>
    </row>
    <row r="4" spans="1:8">
      <c r="A4">
        <v>2019</v>
      </c>
      <c r="B4" t="s">
        <v>7</v>
      </c>
      <c r="C4">
        <v>10</v>
      </c>
      <c r="D4" t="s">
        <v>41</v>
      </c>
      <c r="E4" s="1">
        <v>153000</v>
      </c>
      <c r="F4" s="1">
        <v>155000</v>
      </c>
      <c r="G4">
        <v>214.63378019229219</v>
      </c>
      <c r="H4">
        <v>167</v>
      </c>
    </row>
    <row r="5" spans="1:8">
      <c r="A5">
        <v>2019</v>
      </c>
      <c r="B5" t="s">
        <v>8</v>
      </c>
      <c r="C5">
        <v>13</v>
      </c>
      <c r="D5" t="s">
        <v>41</v>
      </c>
      <c r="E5" s="1">
        <v>93000</v>
      </c>
      <c r="F5" s="1">
        <v>100000</v>
      </c>
      <c r="G5">
        <v>257.46930639947072</v>
      </c>
      <c r="H5">
        <v>100</v>
      </c>
    </row>
    <row r="6" spans="1:8">
      <c r="A6">
        <v>2019</v>
      </c>
      <c r="B6" t="s">
        <v>9</v>
      </c>
      <c r="C6">
        <v>17</v>
      </c>
      <c r="D6" t="s">
        <v>41</v>
      </c>
      <c r="E6" s="1">
        <v>9860000</v>
      </c>
      <c r="F6" s="1">
        <v>9950000</v>
      </c>
      <c r="G6">
        <v>127.50620863544819</v>
      </c>
      <c r="H6">
        <v>200</v>
      </c>
    </row>
    <row r="7" spans="1:8">
      <c r="A7">
        <v>2019</v>
      </c>
      <c r="B7" t="s">
        <v>10</v>
      </c>
      <c r="C7">
        <v>18</v>
      </c>
      <c r="D7" t="s">
        <v>41</v>
      </c>
      <c r="E7" s="1">
        <v>5360000</v>
      </c>
      <c r="F7" s="1">
        <v>5400000</v>
      </c>
      <c r="G7">
        <v>204.23548797237831</v>
      </c>
      <c r="H7">
        <v>63</v>
      </c>
    </row>
    <row r="8" spans="1:8">
      <c r="A8">
        <v>2019</v>
      </c>
      <c r="B8" t="s">
        <v>11</v>
      </c>
      <c r="C8">
        <v>19</v>
      </c>
      <c r="D8" t="s">
        <v>41</v>
      </c>
      <c r="E8" s="1">
        <v>9120000</v>
      </c>
      <c r="F8" s="1">
        <v>9200000</v>
      </c>
      <c r="G8">
        <v>180.41205456687837</v>
      </c>
      <c r="H8">
        <v>182</v>
      </c>
    </row>
    <row r="9" spans="1:8">
      <c r="A9">
        <v>2019</v>
      </c>
      <c r="B9" t="s">
        <v>12</v>
      </c>
      <c r="C9">
        <v>20</v>
      </c>
      <c r="D9" t="s">
        <v>41</v>
      </c>
      <c r="E9" s="1">
        <v>4490000</v>
      </c>
      <c r="F9" s="1">
        <v>4550000</v>
      </c>
      <c r="G9">
        <v>261.42712721618494</v>
      </c>
      <c r="H9">
        <v>128</v>
      </c>
    </row>
    <row r="10" spans="1:8">
      <c r="A10">
        <v>2019</v>
      </c>
      <c r="B10" t="s">
        <v>13</v>
      </c>
      <c r="C10">
        <v>21</v>
      </c>
      <c r="D10" t="s">
        <v>41</v>
      </c>
      <c r="E10" s="1">
        <v>1690000</v>
      </c>
      <c r="F10" s="1">
        <v>1700000</v>
      </c>
      <c r="G10">
        <v>190.43217232889447</v>
      </c>
      <c r="H10">
        <v>57</v>
      </c>
    </row>
    <row r="11" spans="1:8">
      <c r="A11">
        <v>2019</v>
      </c>
      <c r="B11" t="s">
        <v>14</v>
      </c>
      <c r="C11">
        <v>22</v>
      </c>
      <c r="D11" t="s">
        <v>41</v>
      </c>
      <c r="E11" s="1">
        <v>860000</v>
      </c>
      <c r="F11" s="1">
        <v>890000</v>
      </c>
      <c r="G11">
        <v>227.50413945660893</v>
      </c>
      <c r="H11">
        <v>75</v>
      </c>
    </row>
    <row r="12" spans="1:8">
      <c r="A12">
        <v>2019</v>
      </c>
      <c r="B12" t="s">
        <v>15</v>
      </c>
      <c r="C12">
        <v>24</v>
      </c>
      <c r="D12" t="s">
        <v>41</v>
      </c>
      <c r="E12" s="1">
        <v>475000</v>
      </c>
      <c r="F12" s="1">
        <v>480000</v>
      </c>
      <c r="G12">
        <v>263.48209049046511</v>
      </c>
      <c r="H12">
        <v>120</v>
      </c>
    </row>
    <row r="13" spans="1:8">
      <c r="A13">
        <v>2019</v>
      </c>
      <c r="B13" t="s">
        <v>16</v>
      </c>
      <c r="C13">
        <v>26</v>
      </c>
      <c r="D13" t="s">
        <v>41</v>
      </c>
      <c r="E13" s="1">
        <v>1730000</v>
      </c>
      <c r="F13" s="1">
        <v>1760000</v>
      </c>
      <c r="G13">
        <v>258.16640077163362</v>
      </c>
      <c r="H13">
        <v>101</v>
      </c>
    </row>
    <row r="14" spans="1:8">
      <c r="A14">
        <v>2019</v>
      </c>
      <c r="B14" t="s">
        <v>17</v>
      </c>
      <c r="C14">
        <v>27</v>
      </c>
      <c r="D14" t="s">
        <v>41</v>
      </c>
      <c r="E14" s="1">
        <v>6770000</v>
      </c>
      <c r="F14" s="1">
        <v>6850000</v>
      </c>
      <c r="G14">
        <v>134.03233637073919</v>
      </c>
      <c r="H14">
        <v>37</v>
      </c>
    </row>
    <row r="15" spans="1:8">
      <c r="A15">
        <v>2019</v>
      </c>
      <c r="B15" t="s">
        <v>18</v>
      </c>
      <c r="C15">
        <v>28</v>
      </c>
      <c r="D15" t="s">
        <v>41</v>
      </c>
      <c r="E15" s="1">
        <v>1630000</v>
      </c>
      <c r="F15" s="1">
        <v>1660000</v>
      </c>
      <c r="G15">
        <v>1.4184211627368599</v>
      </c>
      <c r="H15">
        <v>3</v>
      </c>
    </row>
    <row r="16" spans="1:8">
      <c r="A16">
        <v>2019</v>
      </c>
      <c r="B16" t="s">
        <v>19</v>
      </c>
      <c r="C16">
        <v>29</v>
      </c>
      <c r="D16" t="s">
        <v>41</v>
      </c>
      <c r="E16" s="1">
        <v>5010000</v>
      </c>
      <c r="F16" s="1">
        <v>5100000</v>
      </c>
      <c r="G16">
        <v>10.505751969631163</v>
      </c>
      <c r="H16">
        <v>5</v>
      </c>
    </row>
    <row r="17" spans="1:8">
      <c r="A17">
        <v>2019</v>
      </c>
      <c r="B17" t="s">
        <v>20</v>
      </c>
      <c r="C17">
        <v>31</v>
      </c>
      <c r="D17" t="s">
        <v>41</v>
      </c>
      <c r="E17" s="1">
        <v>4840000</v>
      </c>
      <c r="F17" s="1">
        <v>4900000</v>
      </c>
      <c r="G17">
        <v>81.206004577926592</v>
      </c>
      <c r="H17">
        <v>22</v>
      </c>
    </row>
    <row r="18" spans="1:8">
      <c r="A18">
        <v>2019</v>
      </c>
      <c r="B18" t="s">
        <v>21</v>
      </c>
      <c r="C18">
        <v>34</v>
      </c>
      <c r="D18" t="s">
        <v>41</v>
      </c>
      <c r="E18" s="1">
        <v>92000</v>
      </c>
      <c r="F18" s="1">
        <v>95000</v>
      </c>
      <c r="G18">
        <v>262.17821167084463</v>
      </c>
      <c r="H18">
        <v>126</v>
      </c>
    </row>
    <row r="19" spans="1:8">
      <c r="A19">
        <v>2019</v>
      </c>
      <c r="B19" t="s">
        <v>22</v>
      </c>
      <c r="C19">
        <v>36</v>
      </c>
      <c r="D19" t="s">
        <v>41</v>
      </c>
      <c r="E19" s="1">
        <v>225000</v>
      </c>
      <c r="F19" s="1">
        <v>235000</v>
      </c>
      <c r="G19">
        <v>182.98563598286398</v>
      </c>
      <c r="H19">
        <v>54</v>
      </c>
    </row>
    <row r="20" spans="1:8">
      <c r="A20">
        <v>2019</v>
      </c>
      <c r="B20" t="s">
        <v>23</v>
      </c>
      <c r="C20">
        <v>37</v>
      </c>
      <c r="D20" t="s">
        <v>41</v>
      </c>
      <c r="E20" s="1">
        <v>1520000</v>
      </c>
      <c r="F20" s="1">
        <v>1540000</v>
      </c>
      <c r="G20">
        <v>185.50684726592462</v>
      </c>
      <c r="H20">
        <v>55</v>
      </c>
    </row>
    <row r="21" spans="1:8">
      <c r="A21">
        <v>2019</v>
      </c>
      <c r="B21" t="s">
        <v>24</v>
      </c>
      <c r="C21">
        <v>38</v>
      </c>
      <c r="D21" t="s">
        <v>41</v>
      </c>
      <c r="E21" s="1">
        <v>5450000</v>
      </c>
      <c r="F21" s="1">
        <v>5600000</v>
      </c>
      <c r="G21">
        <v>10.50078607821715</v>
      </c>
      <c r="H21">
        <v>5</v>
      </c>
    </row>
    <row r="22" spans="1:8">
      <c r="A22">
        <v>2019</v>
      </c>
      <c r="B22" t="s">
        <v>25</v>
      </c>
      <c r="C22">
        <v>39</v>
      </c>
      <c r="D22" t="s">
        <v>41</v>
      </c>
      <c r="E22" s="1">
        <v>4270000</v>
      </c>
      <c r="F22" s="1">
        <v>4300000</v>
      </c>
      <c r="G22">
        <v>180.41358671508547</v>
      </c>
      <c r="H22">
        <v>182</v>
      </c>
    </row>
    <row r="23" spans="1:8">
      <c r="A23">
        <v>2019</v>
      </c>
      <c r="B23" t="s">
        <v>26</v>
      </c>
      <c r="C23">
        <v>40</v>
      </c>
      <c r="D23" t="s">
        <v>41</v>
      </c>
      <c r="E23" s="1">
        <v>440000</v>
      </c>
      <c r="F23" s="1">
        <v>465000</v>
      </c>
      <c r="G23">
        <v>260.96647962827734</v>
      </c>
      <c r="H23">
        <v>129</v>
      </c>
    </row>
    <row r="24" spans="1:8">
      <c r="A24">
        <v>2019</v>
      </c>
      <c r="B24" t="s">
        <v>27</v>
      </c>
      <c r="C24">
        <v>42</v>
      </c>
      <c r="D24" t="s">
        <v>41</v>
      </c>
      <c r="E24" s="1">
        <v>610000</v>
      </c>
      <c r="F24" s="1">
        <v>620000</v>
      </c>
      <c r="G24">
        <v>23.815807335214668</v>
      </c>
      <c r="H24">
        <v>8</v>
      </c>
    </row>
    <row r="25" spans="1:8">
      <c r="A25">
        <v>2019</v>
      </c>
      <c r="B25" t="s">
        <v>28</v>
      </c>
      <c r="C25">
        <v>45</v>
      </c>
      <c r="D25" t="s">
        <v>41</v>
      </c>
      <c r="E25" s="1">
        <v>320000</v>
      </c>
      <c r="F25" s="1">
        <v>335000</v>
      </c>
      <c r="G25">
        <v>245.0213691096759</v>
      </c>
      <c r="H25">
        <v>87</v>
      </c>
    </row>
    <row r="26" spans="1:8">
      <c r="A26">
        <v>2019</v>
      </c>
      <c r="B26" t="s">
        <v>29</v>
      </c>
      <c r="C26">
        <v>46</v>
      </c>
      <c r="D26" t="s">
        <v>41</v>
      </c>
      <c r="E26" s="1">
        <v>3440000</v>
      </c>
      <c r="F26" s="1">
        <v>3500000</v>
      </c>
      <c r="G26">
        <v>195.18912252809668</v>
      </c>
      <c r="H26">
        <v>59</v>
      </c>
    </row>
    <row r="27" spans="1:8">
      <c r="A27">
        <v>2019</v>
      </c>
      <c r="B27" t="s">
        <v>30</v>
      </c>
      <c r="C27">
        <v>47</v>
      </c>
      <c r="D27" t="s">
        <v>41</v>
      </c>
      <c r="E27" s="1">
        <v>1370000</v>
      </c>
      <c r="F27" s="1">
        <v>1400000</v>
      </c>
      <c r="G27">
        <v>229.19389348736766</v>
      </c>
      <c r="H27">
        <v>159</v>
      </c>
    </row>
    <row r="28" spans="1:8">
      <c r="A28">
        <v>2019</v>
      </c>
      <c r="B28" t="s">
        <v>31</v>
      </c>
      <c r="C28">
        <v>48</v>
      </c>
      <c r="D28" t="s">
        <v>41</v>
      </c>
      <c r="E28" s="1">
        <v>73000</v>
      </c>
      <c r="F28" s="1">
        <v>80000</v>
      </c>
      <c r="G28">
        <v>158.50489453431362</v>
      </c>
      <c r="H28">
        <v>190</v>
      </c>
    </row>
    <row r="29" spans="1:8">
      <c r="A29">
        <v>2019</v>
      </c>
      <c r="B29" t="s">
        <v>32</v>
      </c>
      <c r="C29">
        <v>51</v>
      </c>
      <c r="D29" t="s">
        <v>41</v>
      </c>
      <c r="E29" s="1">
        <v>560000</v>
      </c>
      <c r="F29" s="1">
        <v>570000</v>
      </c>
      <c r="G29">
        <v>210.58022142238491</v>
      </c>
      <c r="H29">
        <v>169</v>
      </c>
    </row>
    <row r="30" spans="1:8">
      <c r="A30">
        <v>2019</v>
      </c>
      <c r="B30" t="s">
        <v>33</v>
      </c>
      <c r="C30">
        <v>55</v>
      </c>
      <c r="D30" t="s">
        <v>41</v>
      </c>
      <c r="E30" s="1">
        <v>1700000</v>
      </c>
      <c r="F30" s="1">
        <v>1750000</v>
      </c>
      <c r="G30">
        <v>167.01402328466233</v>
      </c>
      <c r="H3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Soybean production</vt:lpstr>
      <vt:lpstr>Corn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2020-02-24T17:09:22Z</dcterms:created>
  <dcterms:modified xsi:type="dcterms:W3CDTF">2020-03-02T16:06:37Z</dcterms:modified>
</cp:coreProperties>
</file>