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3_ Simple Linear Regression/Lecture/"/>
    </mc:Choice>
  </mc:AlternateContent>
  <xr:revisionPtr revIDLastSave="0" documentId="13_ncr:1_{A8E2E421-D0AB-0E49-BB36-D50E8B944F36}" xr6:coauthVersionLast="45" xr6:coauthVersionMax="45" xr10:uidLastSave="{00000000-0000-0000-0000-000000000000}"/>
  <bookViews>
    <workbookView xWindow="0" yWindow="460" windowWidth="38400" windowHeight="226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1" l="1"/>
  <c r="A11" i="1"/>
  <c r="B10" i="1"/>
  <c r="G33" i="1"/>
  <c r="H33" i="1" s="1"/>
  <c r="I33" i="1" s="1"/>
  <c r="G32" i="1"/>
  <c r="H32" i="1" s="1"/>
  <c r="I32" i="1" s="1"/>
  <c r="G31" i="1"/>
  <c r="H31" i="1" s="1"/>
  <c r="I31" i="1" s="1"/>
  <c r="G30" i="1"/>
  <c r="H30" i="1" s="1"/>
  <c r="I30" i="1" s="1"/>
  <c r="G29" i="1"/>
  <c r="H29" i="1" s="1"/>
  <c r="I29" i="1" s="1"/>
  <c r="G28" i="1"/>
  <c r="H28" i="1" s="1"/>
  <c r="I28" i="1" s="1"/>
  <c r="G27" i="1"/>
  <c r="H27" i="1" s="1"/>
  <c r="I27" i="1" s="1"/>
  <c r="G26" i="1"/>
  <c r="H26" i="1" s="1"/>
  <c r="I26" i="1" s="1"/>
  <c r="G25" i="1"/>
  <c r="H25" i="1" s="1"/>
  <c r="I25" i="1" s="1"/>
  <c r="G24" i="1"/>
  <c r="H24" i="1" s="1"/>
  <c r="I24" i="1" s="1"/>
  <c r="G23" i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9" i="1"/>
  <c r="H19" i="1" s="1"/>
  <c r="I19" i="1" s="1"/>
  <c r="G18" i="1"/>
  <c r="H18" i="1" s="1"/>
  <c r="I18" i="1" s="1"/>
  <c r="G17" i="1"/>
  <c r="H17" i="1" s="1"/>
  <c r="I17" i="1" s="1"/>
  <c r="G16" i="1"/>
  <c r="H16" i="1" s="1"/>
  <c r="I16" i="1" s="1"/>
  <c r="G15" i="1"/>
  <c r="H15" i="1" s="1"/>
  <c r="I15" i="1" s="1"/>
  <c r="G14" i="1"/>
  <c r="H14" i="1" s="1"/>
  <c r="I14" i="1" s="1"/>
  <c r="G13" i="1"/>
  <c r="H13" i="1" s="1"/>
  <c r="I13" i="1" s="1"/>
  <c r="G12" i="1"/>
  <c r="H12" i="1" s="1"/>
  <c r="I12" i="1" s="1"/>
  <c r="G11" i="1"/>
  <c r="H11" i="1" s="1"/>
  <c r="I11" i="1" s="1"/>
  <c r="G10" i="1"/>
  <c r="H10" i="1" s="1"/>
  <c r="I10" i="1" s="1"/>
  <c r="G9" i="1"/>
  <c r="H9" i="1" s="1"/>
  <c r="I9" i="1" s="1"/>
  <c r="G8" i="1"/>
  <c r="H8" i="1" s="1"/>
  <c r="I8" i="1" s="1"/>
  <c r="G7" i="1"/>
  <c r="H7" i="1" s="1"/>
  <c r="I7" i="1" s="1"/>
  <c r="G6" i="1"/>
  <c r="H6" i="1" s="1"/>
  <c r="I6" i="1" s="1"/>
  <c r="G5" i="1"/>
  <c r="H5" i="1" s="1"/>
  <c r="I5" i="1" s="1"/>
  <c r="G4" i="1"/>
  <c r="H4" i="1" s="1"/>
  <c r="I4" i="1" s="1"/>
  <c r="G3" i="1"/>
  <c r="H3" i="1" s="1"/>
  <c r="I3" i="1" s="1"/>
  <c r="G2" i="1"/>
  <c r="H2" i="1" s="1"/>
  <c r="I2" i="1" s="1"/>
  <c r="B4" i="1" l="1"/>
</calcChain>
</file>

<file path=xl/sharedStrings.xml><?xml version="1.0" encoding="utf-8"?>
<sst xmlns="http://schemas.openxmlformats.org/spreadsheetml/2006/main" count="14" uniqueCount="14">
  <si>
    <t>wt</t>
  </si>
  <si>
    <t>mpg</t>
  </si>
  <si>
    <t>The Guessing Zone</t>
  </si>
  <si>
    <t>Intercept</t>
  </si>
  <si>
    <t>(Beta0)</t>
  </si>
  <si>
    <t>Slope</t>
  </si>
  <si>
    <t>(Beta1)</t>
  </si>
  <si>
    <t>SSR</t>
  </si>
  <si>
    <t>pred mpg</t>
  </si>
  <si>
    <t>residual</t>
  </si>
  <si>
    <t>residual sq</t>
  </si>
  <si>
    <t>Ignore this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</si>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</sst>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6"/>
      <name val="Arial"/>
      <family val="2"/>
    </font>
    <font>
      <sz val="16"/>
      <color rgb="FF000000"/>
      <name val="Calibri"/>
      <family val="2"/>
      <scheme val="minor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3" fillId="2" borderId="0" xfId="0" applyFont="1" applyFill="1"/>
    <xf numFmtId="0" fontId="2" fillId="2" borderId="2" xfId="0" applyFont="1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1'!$E$2:$E$33</c:f>
              <c:numCache>
                <c:formatCode>General</c:formatCode>
                <c:ptCount val="32"/>
                <c:pt idx="0">
                  <c:v>2.62</c:v>
                </c:pt>
                <c:pt idx="1">
                  <c:v>2.875</c:v>
                </c:pt>
                <c:pt idx="2">
                  <c:v>2.3199999999999998</c:v>
                </c:pt>
                <c:pt idx="3">
                  <c:v>3.2149999999999999</c:v>
                </c:pt>
                <c:pt idx="4">
                  <c:v>3.44</c:v>
                </c:pt>
                <c:pt idx="5">
                  <c:v>3.46</c:v>
                </c:pt>
                <c:pt idx="6">
                  <c:v>3.57</c:v>
                </c:pt>
                <c:pt idx="7">
                  <c:v>3.19</c:v>
                </c:pt>
                <c:pt idx="8">
                  <c:v>3.15</c:v>
                </c:pt>
                <c:pt idx="9">
                  <c:v>3.44</c:v>
                </c:pt>
                <c:pt idx="10">
                  <c:v>3.44</c:v>
                </c:pt>
                <c:pt idx="11">
                  <c:v>4.07</c:v>
                </c:pt>
                <c:pt idx="12">
                  <c:v>3.73</c:v>
                </c:pt>
                <c:pt idx="13">
                  <c:v>3.78</c:v>
                </c:pt>
                <c:pt idx="14">
                  <c:v>5.25</c:v>
                </c:pt>
                <c:pt idx="15">
                  <c:v>5.4240000000000004</c:v>
                </c:pt>
                <c:pt idx="16">
                  <c:v>5.3449999999999998</c:v>
                </c:pt>
                <c:pt idx="17">
                  <c:v>2.2000000000000002</c:v>
                </c:pt>
                <c:pt idx="18">
                  <c:v>1.615</c:v>
                </c:pt>
                <c:pt idx="19">
                  <c:v>1.835</c:v>
                </c:pt>
                <c:pt idx="20">
                  <c:v>2.4649999999999999</c:v>
                </c:pt>
                <c:pt idx="21">
                  <c:v>3.52</c:v>
                </c:pt>
                <c:pt idx="22">
                  <c:v>3.4350000000000001</c:v>
                </c:pt>
                <c:pt idx="23">
                  <c:v>3.84</c:v>
                </c:pt>
                <c:pt idx="24">
                  <c:v>3.8450000000000002</c:v>
                </c:pt>
                <c:pt idx="25">
                  <c:v>1.9350000000000001</c:v>
                </c:pt>
                <c:pt idx="26">
                  <c:v>2.14</c:v>
                </c:pt>
                <c:pt idx="27">
                  <c:v>1.5129999999999999</c:v>
                </c:pt>
                <c:pt idx="28">
                  <c:v>3.17</c:v>
                </c:pt>
                <c:pt idx="29">
                  <c:v>2.77</c:v>
                </c:pt>
                <c:pt idx="30">
                  <c:v>3.57</c:v>
                </c:pt>
                <c:pt idx="31">
                  <c:v>2.78</c:v>
                </c:pt>
              </c:numCache>
            </c:numRef>
          </c:xVal>
          <c:yVal>
            <c:numRef>
              <c:f>'Sheet 1'!$F$2:$F$33</c:f>
              <c:numCache>
                <c:formatCode>General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22.8</c:v>
                </c:pt>
                <c:pt idx="3">
                  <c:v>21.4</c:v>
                </c:pt>
                <c:pt idx="4">
                  <c:v>18.7</c:v>
                </c:pt>
                <c:pt idx="5">
                  <c:v>18.100000000000001</c:v>
                </c:pt>
                <c:pt idx="6">
                  <c:v>14.3</c:v>
                </c:pt>
                <c:pt idx="7">
                  <c:v>24.4</c:v>
                </c:pt>
                <c:pt idx="8">
                  <c:v>22.8</c:v>
                </c:pt>
                <c:pt idx="9">
                  <c:v>19.2</c:v>
                </c:pt>
                <c:pt idx="10">
                  <c:v>17.8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15.2</c:v>
                </c:pt>
                <c:pt idx="14">
                  <c:v>10.4</c:v>
                </c:pt>
                <c:pt idx="15">
                  <c:v>10.4</c:v>
                </c:pt>
                <c:pt idx="16">
                  <c:v>14.7</c:v>
                </c:pt>
                <c:pt idx="17">
                  <c:v>32.4</c:v>
                </c:pt>
                <c:pt idx="18">
                  <c:v>30.4</c:v>
                </c:pt>
                <c:pt idx="19">
                  <c:v>33.9</c:v>
                </c:pt>
                <c:pt idx="20">
                  <c:v>21.5</c:v>
                </c:pt>
                <c:pt idx="21">
                  <c:v>15.5</c:v>
                </c:pt>
                <c:pt idx="22">
                  <c:v>15.2</c:v>
                </c:pt>
                <c:pt idx="23">
                  <c:v>13.3</c:v>
                </c:pt>
                <c:pt idx="24">
                  <c:v>19.2</c:v>
                </c:pt>
                <c:pt idx="25">
                  <c:v>27.3</c:v>
                </c:pt>
                <c:pt idx="26">
                  <c:v>26</c:v>
                </c:pt>
                <c:pt idx="27">
                  <c:v>30.4</c:v>
                </c:pt>
                <c:pt idx="28">
                  <c:v>15.8</c:v>
                </c:pt>
                <c:pt idx="29">
                  <c:v>19.7</c:v>
                </c:pt>
                <c:pt idx="30">
                  <c:v>15</c:v>
                </c:pt>
                <c:pt idx="31">
                  <c:v>21.4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4-3B4A-965C-CEACC1D3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765872"/>
        <c:axId val="1363974128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1'!$A$10:$A$11</c:f>
              <c:numCache>
                <c:formatCode>General</c:formatCode>
                <c:ptCount val="2"/>
                <c:pt idx="0">
                  <c:v>0</c:v>
                </c:pt>
                <c:pt idx="1">
                  <c:v>5.4240000000000004</c:v>
                </c:pt>
              </c:numCache>
            </c:numRef>
          </c:xVal>
          <c:yVal>
            <c:numRef>
              <c:f>'Sheet 1'!$B$10:$B$11</c:f>
              <c:numCache>
                <c:formatCode>General</c:formatCode>
                <c:ptCount val="2"/>
                <c:pt idx="0">
                  <c:v>20.09</c:v>
                </c:pt>
                <c:pt idx="1">
                  <c:v>20.09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34-3B4A-965C-CEACC1D3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765872"/>
        <c:axId val="1363974128"/>
      </c:scatterChart>
      <c:valAx>
        <c:axId val="136376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74128"/>
        <c:crosses val="autoZero"/>
        <c:crossBetween val="midCat"/>
      </c:valAx>
      <c:valAx>
        <c:axId val="13639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6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264583</xdr:colOff>
      <xdr:row>0</xdr:row>
      <xdr:rowOff>94191</xdr:rowOff>
    </xdr:from>
    <xdr:to>
      <xdr:col>22</xdr:col>
      <xdr:colOff>317499</xdr:colOff>
      <xdr:row>33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E7AAA7-1B6F-364A-ACDB-928DC3A77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20" zoomScaleNormal="120" workbookViewId="0">
      <selection activeCell="E1" sqref="E1"/>
    </sheetView>
  </sheetViews>
  <sheetFormatPr baseColWidth="10" defaultColWidth="8.83203125" defaultRowHeight="15" x14ac:dyDescent="0.2"/>
  <cols>
    <col min="1" max="1" width="11.6640625" bestFit="1" customWidth="1"/>
    <col min="3" max="3" width="10.1640625" bestFit="1" customWidth="1"/>
  </cols>
  <sheetData>
    <row r="1" spans="1:9" ht="21" customHeight="1" x14ac:dyDescent="0.2">
      <c r="A1" s="5" t="s">
        <v>2</v>
      </c>
      <c r="B1" s="5"/>
      <c r="C1" s="5"/>
      <c r="E1" t="s">
        <v>0</v>
      </c>
      <c r="F1" t="s">
        <v>1</v>
      </c>
      <c r="G1" t="s">
        <v>8</v>
      </c>
      <c r="H1" t="s">
        <v>9</v>
      </c>
      <c r="I1" t="s">
        <v>10</v>
      </c>
    </row>
    <row r="2" spans="1:9" ht="21" x14ac:dyDescent="0.25">
      <c r="A2" s="2" t="s">
        <v>3</v>
      </c>
      <c r="B2" s="3">
        <v>20.09</v>
      </c>
      <c r="C2" s="2" t="s">
        <v>4</v>
      </c>
      <c r="E2">
        <v>2.62</v>
      </c>
      <c r="F2">
        <v>21</v>
      </c>
      <c r="G2">
        <f>$B$2+$B$3*E2</f>
        <v>20.09</v>
      </c>
      <c r="H2">
        <f>F2-G2</f>
        <v>0.91000000000000014</v>
      </c>
      <c r="I2">
        <f>H2^2</f>
        <v>0.82810000000000028</v>
      </c>
    </row>
    <row r="3" spans="1:9" ht="21" x14ac:dyDescent="0.25">
      <c r="A3" s="2" t="s">
        <v>5</v>
      </c>
      <c r="B3" s="3">
        <v>0</v>
      </c>
      <c r="C3" s="2" t="s">
        <v>6</v>
      </c>
      <c r="E3">
        <v>2.875</v>
      </c>
      <c r="F3">
        <v>21</v>
      </c>
      <c r="G3">
        <f t="shared" ref="G3:G33" si="0">$B$2+$B$3*E3</f>
        <v>20.09</v>
      </c>
      <c r="H3">
        <f t="shared" ref="H3:H33" si="1">F3-G3</f>
        <v>0.91000000000000014</v>
      </c>
      <c r="I3">
        <f t="shared" ref="I3:I33" si="2">H3^2</f>
        <v>0.82810000000000028</v>
      </c>
    </row>
    <row r="4" spans="1:9" ht="21" x14ac:dyDescent="0.25">
      <c r="A4" s="2" t="s">
        <v>7</v>
      </c>
      <c r="B4" s="3">
        <f>SUM(I2:I33)</f>
        <v>1126.0472</v>
      </c>
      <c r="C4" s="4"/>
      <c r="E4">
        <v>2.3199999999999998</v>
      </c>
      <c r="F4">
        <v>22.8</v>
      </c>
      <c r="G4">
        <f t="shared" si="0"/>
        <v>20.09</v>
      </c>
      <c r="H4">
        <f t="shared" si="1"/>
        <v>2.7100000000000009</v>
      </c>
      <c r="I4">
        <f t="shared" si="2"/>
        <v>7.3441000000000045</v>
      </c>
    </row>
    <row r="5" spans="1:9" x14ac:dyDescent="0.2">
      <c r="E5">
        <v>3.2149999999999999</v>
      </c>
      <c r="F5">
        <v>21.4</v>
      </c>
      <c r="G5">
        <f t="shared" si="0"/>
        <v>20.09</v>
      </c>
      <c r="H5">
        <f t="shared" si="1"/>
        <v>1.3099999999999987</v>
      </c>
      <c r="I5">
        <f t="shared" si="2"/>
        <v>1.7160999999999966</v>
      </c>
    </row>
    <row r="6" spans="1:9" x14ac:dyDescent="0.2">
      <c r="E6">
        <v>3.44</v>
      </c>
      <c r="F6">
        <v>18.7</v>
      </c>
      <c r="G6">
        <f t="shared" si="0"/>
        <v>20.09</v>
      </c>
      <c r="H6">
        <f t="shared" si="1"/>
        <v>-1.3900000000000006</v>
      </c>
      <c r="I6">
        <f t="shared" si="2"/>
        <v>1.9321000000000015</v>
      </c>
    </row>
    <row r="7" spans="1:9" x14ac:dyDescent="0.2">
      <c r="E7">
        <v>3.46</v>
      </c>
      <c r="F7">
        <v>18.100000000000001</v>
      </c>
      <c r="G7">
        <f t="shared" si="0"/>
        <v>20.09</v>
      </c>
      <c r="H7">
        <f t="shared" si="1"/>
        <v>-1.9899999999999984</v>
      </c>
      <c r="I7">
        <f t="shared" si="2"/>
        <v>3.960099999999994</v>
      </c>
    </row>
    <row r="8" spans="1:9" x14ac:dyDescent="0.2">
      <c r="A8" s="1" t="s">
        <v>11</v>
      </c>
      <c r="B8" s="1"/>
      <c r="E8">
        <v>3.57</v>
      </c>
      <c r="F8">
        <v>14.3</v>
      </c>
      <c r="G8">
        <f t="shared" si="0"/>
        <v>20.09</v>
      </c>
      <c r="H8">
        <f t="shared" si="1"/>
        <v>-5.7899999999999991</v>
      </c>
      <c r="I8">
        <f t="shared" si="2"/>
        <v>33.52409999999999</v>
      </c>
    </row>
    <row r="9" spans="1:9" x14ac:dyDescent="0.2">
      <c r="A9" s="1" t="s">
        <v>12</v>
      </c>
      <c r="B9" s="1" t="s">
        <v>13</v>
      </c>
      <c r="E9">
        <v>3.19</v>
      </c>
      <c r="F9">
        <v>24.4</v>
      </c>
      <c r="G9">
        <f t="shared" si="0"/>
        <v>20.09</v>
      </c>
      <c r="H9">
        <f t="shared" si="1"/>
        <v>4.3099999999999987</v>
      </c>
      <c r="I9">
        <f t="shared" si="2"/>
        <v>18.57609999999999</v>
      </c>
    </row>
    <row r="10" spans="1:9" x14ac:dyDescent="0.2">
      <c r="A10" s="1">
        <v>0</v>
      </c>
      <c r="B10" s="1">
        <f>B2</f>
        <v>20.09</v>
      </c>
      <c r="E10">
        <v>3.15</v>
      </c>
      <c r="F10">
        <v>22.8</v>
      </c>
      <c r="G10">
        <f t="shared" si="0"/>
        <v>20.09</v>
      </c>
      <c r="H10">
        <f t="shared" si="1"/>
        <v>2.7100000000000009</v>
      </c>
      <c r="I10">
        <f t="shared" si="2"/>
        <v>7.3441000000000045</v>
      </c>
    </row>
    <row r="11" spans="1:9" x14ac:dyDescent="0.2">
      <c r="A11" s="1">
        <f>MAX(E:E)</f>
        <v>5.4240000000000004</v>
      </c>
      <c r="B11" s="1">
        <f>B2+(B3*A11)</f>
        <v>20.09</v>
      </c>
      <c r="E11">
        <v>3.44</v>
      </c>
      <c r="F11">
        <v>19.2</v>
      </c>
      <c r="G11">
        <f t="shared" si="0"/>
        <v>20.09</v>
      </c>
      <c r="H11">
        <f t="shared" si="1"/>
        <v>-0.89000000000000057</v>
      </c>
      <c r="I11">
        <f t="shared" si="2"/>
        <v>0.79210000000000103</v>
      </c>
    </row>
    <row r="12" spans="1:9" x14ac:dyDescent="0.2">
      <c r="E12">
        <v>3.44</v>
      </c>
      <c r="F12">
        <v>17.8</v>
      </c>
      <c r="G12">
        <f t="shared" si="0"/>
        <v>20.09</v>
      </c>
      <c r="H12">
        <f t="shared" si="1"/>
        <v>-2.2899999999999991</v>
      </c>
      <c r="I12">
        <f t="shared" si="2"/>
        <v>5.244099999999996</v>
      </c>
    </row>
    <row r="13" spans="1:9" x14ac:dyDescent="0.2">
      <c r="E13">
        <v>4.07</v>
      </c>
      <c r="F13">
        <v>16.399999999999999</v>
      </c>
      <c r="G13">
        <f t="shared" si="0"/>
        <v>20.09</v>
      </c>
      <c r="H13">
        <f t="shared" si="1"/>
        <v>-3.6900000000000013</v>
      </c>
      <c r="I13">
        <f t="shared" si="2"/>
        <v>13.61610000000001</v>
      </c>
    </row>
    <row r="14" spans="1:9" x14ac:dyDescent="0.2">
      <c r="E14">
        <v>3.73</v>
      </c>
      <c r="F14">
        <v>17.3</v>
      </c>
      <c r="G14">
        <f t="shared" si="0"/>
        <v>20.09</v>
      </c>
      <c r="H14">
        <f t="shared" si="1"/>
        <v>-2.7899999999999991</v>
      </c>
      <c r="I14">
        <f t="shared" si="2"/>
        <v>7.7840999999999951</v>
      </c>
    </row>
    <row r="15" spans="1:9" x14ac:dyDescent="0.2">
      <c r="E15">
        <v>3.78</v>
      </c>
      <c r="F15">
        <v>15.2</v>
      </c>
      <c r="G15">
        <f t="shared" si="0"/>
        <v>20.09</v>
      </c>
      <c r="H15">
        <f t="shared" si="1"/>
        <v>-4.8900000000000006</v>
      </c>
      <c r="I15">
        <f t="shared" si="2"/>
        <v>23.912100000000006</v>
      </c>
    </row>
    <row r="16" spans="1:9" x14ac:dyDescent="0.2">
      <c r="E16">
        <v>5.25</v>
      </c>
      <c r="F16">
        <v>10.4</v>
      </c>
      <c r="G16">
        <f t="shared" si="0"/>
        <v>20.09</v>
      </c>
      <c r="H16">
        <f t="shared" si="1"/>
        <v>-9.69</v>
      </c>
      <c r="I16">
        <f t="shared" si="2"/>
        <v>93.89609999999999</v>
      </c>
    </row>
    <row r="17" spans="5:9" x14ac:dyDescent="0.2">
      <c r="E17">
        <v>5.4240000000000004</v>
      </c>
      <c r="F17">
        <v>10.4</v>
      </c>
      <c r="G17">
        <f t="shared" si="0"/>
        <v>20.09</v>
      </c>
      <c r="H17">
        <f t="shared" si="1"/>
        <v>-9.69</v>
      </c>
      <c r="I17">
        <f t="shared" si="2"/>
        <v>93.89609999999999</v>
      </c>
    </row>
    <row r="18" spans="5:9" x14ac:dyDescent="0.2">
      <c r="E18">
        <v>5.3449999999999998</v>
      </c>
      <c r="F18">
        <v>14.7</v>
      </c>
      <c r="G18">
        <f t="shared" si="0"/>
        <v>20.09</v>
      </c>
      <c r="H18">
        <f t="shared" si="1"/>
        <v>-5.3900000000000006</v>
      </c>
      <c r="I18">
        <f t="shared" si="2"/>
        <v>29.052100000000006</v>
      </c>
    </row>
    <row r="19" spans="5:9" x14ac:dyDescent="0.2">
      <c r="E19">
        <v>2.2000000000000002</v>
      </c>
      <c r="F19">
        <v>32.4</v>
      </c>
      <c r="G19">
        <f t="shared" si="0"/>
        <v>20.09</v>
      </c>
      <c r="H19">
        <f t="shared" si="1"/>
        <v>12.309999999999999</v>
      </c>
      <c r="I19">
        <f t="shared" si="2"/>
        <v>151.53609999999998</v>
      </c>
    </row>
    <row r="20" spans="5:9" x14ac:dyDescent="0.2">
      <c r="E20">
        <v>1.615</v>
      </c>
      <c r="F20">
        <v>30.4</v>
      </c>
      <c r="G20">
        <f t="shared" si="0"/>
        <v>20.09</v>
      </c>
      <c r="H20">
        <f t="shared" si="1"/>
        <v>10.309999999999999</v>
      </c>
      <c r="I20">
        <f t="shared" si="2"/>
        <v>106.29609999999997</v>
      </c>
    </row>
    <row r="21" spans="5:9" x14ac:dyDescent="0.2">
      <c r="E21">
        <v>1.835</v>
      </c>
      <c r="F21">
        <v>33.9</v>
      </c>
      <c r="G21">
        <f t="shared" si="0"/>
        <v>20.09</v>
      </c>
      <c r="H21">
        <f t="shared" si="1"/>
        <v>13.809999999999999</v>
      </c>
      <c r="I21">
        <f t="shared" si="2"/>
        <v>190.71609999999995</v>
      </c>
    </row>
    <row r="22" spans="5:9" x14ac:dyDescent="0.2">
      <c r="E22">
        <v>2.4649999999999999</v>
      </c>
      <c r="F22">
        <v>21.5</v>
      </c>
      <c r="G22">
        <f t="shared" si="0"/>
        <v>20.09</v>
      </c>
      <c r="H22">
        <f t="shared" si="1"/>
        <v>1.4100000000000001</v>
      </c>
      <c r="I22">
        <f t="shared" si="2"/>
        <v>1.9881000000000004</v>
      </c>
    </row>
    <row r="23" spans="5:9" x14ac:dyDescent="0.2">
      <c r="E23">
        <v>3.52</v>
      </c>
      <c r="F23">
        <v>15.5</v>
      </c>
      <c r="G23">
        <f t="shared" si="0"/>
        <v>20.09</v>
      </c>
      <c r="H23">
        <f t="shared" si="1"/>
        <v>-4.59</v>
      </c>
      <c r="I23">
        <f t="shared" si="2"/>
        <v>21.068099999999998</v>
      </c>
    </row>
    <row r="24" spans="5:9" x14ac:dyDescent="0.2">
      <c r="E24">
        <v>3.4350000000000001</v>
      </c>
      <c r="F24">
        <v>15.2</v>
      </c>
      <c r="G24">
        <f t="shared" si="0"/>
        <v>20.09</v>
      </c>
      <c r="H24">
        <f t="shared" si="1"/>
        <v>-4.8900000000000006</v>
      </c>
      <c r="I24">
        <f t="shared" si="2"/>
        <v>23.912100000000006</v>
      </c>
    </row>
    <row r="25" spans="5:9" x14ac:dyDescent="0.2">
      <c r="E25">
        <v>3.84</v>
      </c>
      <c r="F25">
        <v>13.3</v>
      </c>
      <c r="G25">
        <f t="shared" si="0"/>
        <v>20.09</v>
      </c>
      <c r="H25">
        <f t="shared" si="1"/>
        <v>-6.7899999999999991</v>
      </c>
      <c r="I25">
        <f t="shared" si="2"/>
        <v>46.104099999999988</v>
      </c>
    </row>
    <row r="26" spans="5:9" x14ac:dyDescent="0.2">
      <c r="E26">
        <v>3.8450000000000002</v>
      </c>
      <c r="F26">
        <v>19.2</v>
      </c>
      <c r="G26">
        <f t="shared" si="0"/>
        <v>20.09</v>
      </c>
      <c r="H26">
        <f t="shared" si="1"/>
        <v>-0.89000000000000057</v>
      </c>
      <c r="I26">
        <f t="shared" si="2"/>
        <v>0.79210000000000103</v>
      </c>
    </row>
    <row r="27" spans="5:9" x14ac:dyDescent="0.2">
      <c r="E27">
        <v>1.9350000000000001</v>
      </c>
      <c r="F27">
        <v>27.3</v>
      </c>
      <c r="G27">
        <f t="shared" si="0"/>
        <v>20.09</v>
      </c>
      <c r="H27">
        <f t="shared" si="1"/>
        <v>7.2100000000000009</v>
      </c>
      <c r="I27">
        <f t="shared" si="2"/>
        <v>51.984100000000012</v>
      </c>
    </row>
    <row r="28" spans="5:9" x14ac:dyDescent="0.2">
      <c r="E28">
        <v>2.14</v>
      </c>
      <c r="F28">
        <v>26</v>
      </c>
      <c r="G28">
        <f t="shared" si="0"/>
        <v>20.09</v>
      </c>
      <c r="H28">
        <f t="shared" si="1"/>
        <v>5.91</v>
      </c>
      <c r="I28">
        <f t="shared" si="2"/>
        <v>34.928100000000001</v>
      </c>
    </row>
    <row r="29" spans="5:9" x14ac:dyDescent="0.2">
      <c r="E29">
        <v>1.5129999999999999</v>
      </c>
      <c r="F29">
        <v>30.4</v>
      </c>
      <c r="G29">
        <f t="shared" si="0"/>
        <v>20.09</v>
      </c>
      <c r="H29">
        <f t="shared" si="1"/>
        <v>10.309999999999999</v>
      </c>
      <c r="I29">
        <f t="shared" si="2"/>
        <v>106.29609999999997</v>
      </c>
    </row>
    <row r="30" spans="5:9" x14ac:dyDescent="0.2">
      <c r="E30">
        <v>3.17</v>
      </c>
      <c r="F30">
        <v>15.8</v>
      </c>
      <c r="G30">
        <f t="shared" si="0"/>
        <v>20.09</v>
      </c>
      <c r="H30">
        <f t="shared" si="1"/>
        <v>-4.2899999999999991</v>
      </c>
      <c r="I30">
        <f t="shared" si="2"/>
        <v>18.404099999999993</v>
      </c>
    </row>
    <row r="31" spans="5:9" x14ac:dyDescent="0.2">
      <c r="E31">
        <v>2.77</v>
      </c>
      <c r="F31">
        <v>19.7</v>
      </c>
      <c r="G31">
        <f t="shared" si="0"/>
        <v>20.09</v>
      </c>
      <c r="H31">
        <f t="shared" si="1"/>
        <v>-0.39000000000000057</v>
      </c>
      <c r="I31">
        <f t="shared" si="2"/>
        <v>0.15210000000000046</v>
      </c>
    </row>
    <row r="32" spans="5:9" x14ac:dyDescent="0.2">
      <c r="E32">
        <v>3.57</v>
      </c>
      <c r="F32">
        <v>15</v>
      </c>
      <c r="G32">
        <f t="shared" si="0"/>
        <v>20.09</v>
      </c>
      <c r="H32">
        <f t="shared" si="1"/>
        <v>-5.09</v>
      </c>
      <c r="I32">
        <f t="shared" si="2"/>
        <v>25.908099999999997</v>
      </c>
    </row>
    <row r="33" spans="5:9" x14ac:dyDescent="0.2">
      <c r="E33">
        <v>2.78</v>
      </c>
      <c r="F33">
        <v>21.4</v>
      </c>
      <c r="G33">
        <f t="shared" si="0"/>
        <v>20.09</v>
      </c>
      <c r="H33">
        <f t="shared" si="1"/>
        <v>1.3099999999999987</v>
      </c>
      <c r="I33">
        <f t="shared" si="2"/>
        <v>1.7160999999999966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2020-01-31T11:09:45Z</dcterms:created>
  <dcterms:modified xsi:type="dcterms:W3CDTF">2020-01-31T21:37:01Z</dcterms:modified>
</cp:coreProperties>
</file>