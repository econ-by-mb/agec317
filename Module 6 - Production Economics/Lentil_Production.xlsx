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6_ Production-Managerial Economics/"/>
    </mc:Choice>
  </mc:AlternateContent>
  <xr:revisionPtr revIDLastSave="0" documentId="8_{6B9D0B90-FF44-7949-9A73-2A1F25BC42D9}" xr6:coauthVersionLast="45" xr6:coauthVersionMax="45" xr10:uidLastSave="{00000000-0000-0000-0000-000000000000}"/>
  <bookViews>
    <workbookView xWindow="0" yWindow="460" windowWidth="28800" windowHeight="16740" xr2:uid="{602357B3-6A2C-EC4B-8673-604A113F8E7C}"/>
  </bookViews>
  <sheets>
    <sheet name="Data" sheetId="1" r:id="rId1"/>
    <sheet name="Regression Results" sheetId="2" r:id="rId2"/>
    <sheet name="Optimize" sheetId="3" r:id="rId3"/>
    <sheet name="Production Stages" sheetId="4" r:id="rId4"/>
  </sheets>
  <definedNames>
    <definedName name="solver_adj" localSheetId="2" hidden="1">Optimize!$B$2:$B$3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opt" localSheetId="2" hidden="1">Optimize!$B$18</definedName>
    <definedName name="solver_pre" localSheetId="2" hidden="1">0.000001</definedName>
    <definedName name="solver_rbv" localSheetId="2" hidden="1">1</definedName>
    <definedName name="solver_rlx" localSheetId="2" hidden="1">1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7" i="4" l="1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B97" i="4"/>
  <c r="D97" i="4" s="1"/>
  <c r="B98" i="4"/>
  <c r="D98" i="4" s="1"/>
  <c r="B99" i="4"/>
  <c r="D99" i="4" s="1"/>
  <c r="B100" i="4"/>
  <c r="D100" i="4" s="1"/>
  <c r="B101" i="4"/>
  <c r="D101" i="4" s="1"/>
  <c r="B102" i="4"/>
  <c r="D102" i="4" s="1"/>
  <c r="B103" i="4"/>
  <c r="D103" i="4" s="1"/>
  <c r="B104" i="4"/>
  <c r="D104" i="4" s="1"/>
  <c r="B105" i="4"/>
  <c r="D105" i="4" s="1"/>
  <c r="B106" i="4"/>
  <c r="D106" i="4" s="1"/>
  <c r="B107" i="4"/>
  <c r="D107" i="4" s="1"/>
  <c r="B108" i="4"/>
  <c r="D108" i="4" s="1"/>
  <c r="B109" i="4"/>
  <c r="D109" i="4" s="1"/>
  <c r="B110" i="4"/>
  <c r="D110" i="4" s="1"/>
  <c r="B111" i="4"/>
  <c r="D111" i="4" s="1"/>
  <c r="B112" i="4"/>
  <c r="D112" i="4" s="1"/>
  <c r="B113" i="4"/>
  <c r="D113" i="4" s="1"/>
  <c r="B114" i="4"/>
  <c r="D114" i="4" s="1"/>
  <c r="B115" i="4"/>
  <c r="D115" i="4" s="1"/>
  <c r="B116" i="4"/>
  <c r="D116" i="4" s="1"/>
  <c r="B117" i="4"/>
  <c r="D117" i="4" s="1"/>
  <c r="B118" i="4"/>
  <c r="D118" i="4" s="1"/>
  <c r="B119" i="4"/>
  <c r="D119" i="4" s="1"/>
  <c r="B120" i="4"/>
  <c r="D120" i="4" s="1"/>
  <c r="B121" i="4"/>
  <c r="D121" i="4" s="1"/>
  <c r="B122" i="4"/>
  <c r="D122" i="4" s="1"/>
  <c r="B123" i="4"/>
  <c r="D123" i="4" s="1"/>
  <c r="B124" i="4"/>
  <c r="D124" i="4" s="1"/>
  <c r="B125" i="4"/>
  <c r="D125" i="4" s="1"/>
  <c r="B126" i="4"/>
  <c r="D126" i="4" s="1"/>
  <c r="B127" i="4"/>
  <c r="D127" i="4" s="1"/>
  <c r="B128" i="4"/>
  <c r="D128" i="4" s="1"/>
  <c r="B129" i="4"/>
  <c r="D129" i="4" s="1"/>
  <c r="B130" i="4"/>
  <c r="D130" i="4" s="1"/>
  <c r="B131" i="4"/>
  <c r="D131" i="4" s="1"/>
  <c r="B132" i="4"/>
  <c r="D132" i="4" s="1"/>
  <c r="B133" i="4"/>
  <c r="D133" i="4" s="1"/>
  <c r="B134" i="4"/>
  <c r="D134" i="4" s="1"/>
  <c r="B135" i="4"/>
  <c r="D135" i="4" s="1"/>
  <c r="B136" i="4"/>
  <c r="D136" i="4" s="1"/>
  <c r="B137" i="4"/>
  <c r="D137" i="4" s="1"/>
  <c r="B138" i="4"/>
  <c r="D138" i="4" s="1"/>
  <c r="B139" i="4"/>
  <c r="D139" i="4" s="1"/>
  <c r="B140" i="4"/>
  <c r="D140" i="4" s="1"/>
  <c r="B141" i="4"/>
  <c r="D141" i="4" s="1"/>
  <c r="B142" i="4"/>
  <c r="D142" i="4" s="1"/>
  <c r="B143" i="4"/>
  <c r="D143" i="4" s="1"/>
  <c r="B144" i="4"/>
  <c r="D144" i="4" s="1"/>
  <c r="B145" i="4"/>
  <c r="D145" i="4" s="1"/>
  <c r="B146" i="4"/>
  <c r="D146" i="4" s="1"/>
  <c r="B147" i="4"/>
  <c r="D147" i="4" s="1"/>
  <c r="B148" i="4"/>
  <c r="D148" i="4" s="1"/>
  <c r="B149" i="4"/>
  <c r="D149" i="4" s="1"/>
  <c r="B150" i="4"/>
  <c r="D150" i="4" s="1"/>
  <c r="B151" i="4"/>
  <c r="D151" i="4" s="1"/>
  <c r="B152" i="4"/>
  <c r="D152" i="4" s="1"/>
  <c r="B153" i="4"/>
  <c r="D153" i="4" s="1"/>
  <c r="B154" i="4"/>
  <c r="D154" i="4" s="1"/>
  <c r="B155" i="4"/>
  <c r="D155" i="4" s="1"/>
  <c r="B156" i="4"/>
  <c r="D156" i="4" s="1"/>
  <c r="B157" i="4"/>
  <c r="D157" i="4" s="1"/>
  <c r="B158" i="4"/>
  <c r="D158" i="4" s="1"/>
  <c r="B159" i="4"/>
  <c r="D159" i="4" s="1"/>
  <c r="B160" i="4"/>
  <c r="D160" i="4" s="1"/>
  <c r="B161" i="4"/>
  <c r="D161" i="4" s="1"/>
  <c r="B162" i="4"/>
  <c r="D162" i="4" s="1"/>
  <c r="B163" i="4"/>
  <c r="D163" i="4" s="1"/>
  <c r="B164" i="4"/>
  <c r="D164" i="4" s="1"/>
  <c r="B165" i="4"/>
  <c r="D165" i="4" s="1"/>
  <c r="B166" i="4"/>
  <c r="D166" i="4" s="1"/>
  <c r="B167" i="4"/>
  <c r="D167" i="4" s="1"/>
  <c r="B168" i="4"/>
  <c r="D168" i="4" s="1"/>
  <c r="B169" i="4"/>
  <c r="D169" i="4" s="1"/>
  <c r="B170" i="4"/>
  <c r="D170" i="4" s="1"/>
  <c r="B171" i="4"/>
  <c r="D171" i="4" s="1"/>
  <c r="B172" i="4"/>
  <c r="D172" i="4" s="1"/>
  <c r="B173" i="4"/>
  <c r="D173" i="4" s="1"/>
  <c r="B174" i="4"/>
  <c r="D174" i="4" s="1"/>
  <c r="B175" i="4"/>
  <c r="D175" i="4" s="1"/>
  <c r="B176" i="4"/>
  <c r="D176" i="4" s="1"/>
  <c r="B177" i="4"/>
  <c r="D177" i="4" s="1"/>
  <c r="B178" i="4"/>
  <c r="D178" i="4" s="1"/>
  <c r="B179" i="4"/>
  <c r="D179" i="4" s="1"/>
  <c r="B180" i="4"/>
  <c r="D180" i="4" s="1"/>
  <c r="B181" i="4"/>
  <c r="D181" i="4" s="1"/>
  <c r="B182" i="4"/>
  <c r="D182" i="4" s="1"/>
  <c r="B183" i="4"/>
  <c r="D183" i="4" s="1"/>
  <c r="B184" i="4"/>
  <c r="D184" i="4" s="1"/>
  <c r="B185" i="4"/>
  <c r="D185" i="4" s="1"/>
  <c r="B186" i="4"/>
  <c r="D186" i="4" s="1"/>
  <c r="B187" i="4"/>
  <c r="D187" i="4" s="1"/>
  <c r="B188" i="4"/>
  <c r="D188" i="4" s="1"/>
  <c r="B189" i="4"/>
  <c r="D189" i="4" s="1"/>
  <c r="B190" i="4"/>
  <c r="D190" i="4" s="1"/>
  <c r="B191" i="4"/>
  <c r="D191" i="4" s="1"/>
  <c r="B192" i="4"/>
  <c r="D192" i="4" s="1"/>
  <c r="B193" i="4"/>
  <c r="D193" i="4" s="1"/>
  <c r="B194" i="4"/>
  <c r="D194" i="4" s="1"/>
  <c r="B195" i="4"/>
  <c r="D195" i="4" s="1"/>
  <c r="B196" i="4"/>
  <c r="D196" i="4" s="1"/>
  <c r="B197" i="4"/>
  <c r="D197" i="4" s="1"/>
  <c r="B198" i="4"/>
  <c r="D198" i="4" s="1"/>
  <c r="B199" i="4"/>
  <c r="D199" i="4" s="1"/>
  <c r="B200" i="4"/>
  <c r="D200" i="4" s="1"/>
  <c r="B201" i="4"/>
  <c r="D201" i="4" s="1"/>
  <c r="B202" i="4"/>
  <c r="D202" i="4" s="1"/>
  <c r="B203" i="4"/>
  <c r="D203" i="4" s="1"/>
  <c r="B204" i="4"/>
  <c r="D204" i="4" s="1"/>
  <c r="B205" i="4"/>
  <c r="D205" i="4" s="1"/>
  <c r="B206" i="4"/>
  <c r="D206" i="4" s="1"/>
  <c r="B207" i="4"/>
  <c r="D207" i="4" s="1"/>
  <c r="B208" i="4"/>
  <c r="D208" i="4" s="1"/>
  <c r="B209" i="4"/>
  <c r="D209" i="4" s="1"/>
  <c r="B210" i="4"/>
  <c r="D210" i="4" s="1"/>
  <c r="B211" i="4"/>
  <c r="D211" i="4" s="1"/>
  <c r="B212" i="4"/>
  <c r="D212" i="4" s="1"/>
  <c r="B213" i="4"/>
  <c r="D213" i="4" s="1"/>
  <c r="B214" i="4"/>
  <c r="D214" i="4" s="1"/>
  <c r="B215" i="4"/>
  <c r="D215" i="4" s="1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16" i="4"/>
  <c r="B17" i="4"/>
  <c r="D17" i="4" s="1"/>
  <c r="B18" i="4"/>
  <c r="D18" i="4" s="1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41" i="4"/>
  <c r="D41" i="4" s="1"/>
  <c r="B42" i="4"/>
  <c r="D42" i="4" s="1"/>
  <c r="B43" i="4"/>
  <c r="D43" i="4" s="1"/>
  <c r="B44" i="4"/>
  <c r="D44" i="4" s="1"/>
  <c r="B45" i="4"/>
  <c r="D45" i="4" s="1"/>
  <c r="B46" i="4"/>
  <c r="D46" i="4" s="1"/>
  <c r="B47" i="4"/>
  <c r="D47" i="4" s="1"/>
  <c r="B48" i="4"/>
  <c r="D48" i="4" s="1"/>
  <c r="B49" i="4"/>
  <c r="D49" i="4" s="1"/>
  <c r="B50" i="4"/>
  <c r="D50" i="4" s="1"/>
  <c r="B51" i="4"/>
  <c r="D51" i="4" s="1"/>
  <c r="B52" i="4"/>
  <c r="D52" i="4" s="1"/>
  <c r="B53" i="4"/>
  <c r="D53" i="4" s="1"/>
  <c r="B54" i="4"/>
  <c r="D54" i="4" s="1"/>
  <c r="B55" i="4"/>
  <c r="D55" i="4" s="1"/>
  <c r="B56" i="4"/>
  <c r="D56" i="4" s="1"/>
  <c r="B57" i="4"/>
  <c r="D57" i="4" s="1"/>
  <c r="B58" i="4"/>
  <c r="D58" i="4" s="1"/>
  <c r="B59" i="4"/>
  <c r="D59" i="4" s="1"/>
  <c r="B60" i="4"/>
  <c r="D60" i="4" s="1"/>
  <c r="B61" i="4"/>
  <c r="D61" i="4" s="1"/>
  <c r="B62" i="4"/>
  <c r="D62" i="4" s="1"/>
  <c r="B63" i="4"/>
  <c r="D63" i="4" s="1"/>
  <c r="B64" i="4"/>
  <c r="D64" i="4" s="1"/>
  <c r="B65" i="4"/>
  <c r="D65" i="4" s="1"/>
  <c r="B66" i="4"/>
  <c r="D66" i="4" s="1"/>
  <c r="B67" i="4"/>
  <c r="D67" i="4" s="1"/>
  <c r="B68" i="4"/>
  <c r="D68" i="4" s="1"/>
  <c r="B69" i="4"/>
  <c r="D69" i="4" s="1"/>
  <c r="B70" i="4"/>
  <c r="D70" i="4" s="1"/>
  <c r="B71" i="4"/>
  <c r="D71" i="4" s="1"/>
  <c r="B72" i="4"/>
  <c r="D72" i="4" s="1"/>
  <c r="B73" i="4"/>
  <c r="D73" i="4" s="1"/>
  <c r="B74" i="4"/>
  <c r="D74" i="4" s="1"/>
  <c r="B75" i="4"/>
  <c r="D75" i="4" s="1"/>
  <c r="B76" i="4"/>
  <c r="D76" i="4" s="1"/>
  <c r="B77" i="4"/>
  <c r="D77" i="4" s="1"/>
  <c r="B78" i="4"/>
  <c r="D78" i="4" s="1"/>
  <c r="B79" i="4"/>
  <c r="D79" i="4" s="1"/>
  <c r="B80" i="4"/>
  <c r="D80" i="4" s="1"/>
  <c r="B81" i="4"/>
  <c r="D81" i="4" s="1"/>
  <c r="B82" i="4"/>
  <c r="D82" i="4" s="1"/>
  <c r="B83" i="4"/>
  <c r="D83" i="4" s="1"/>
  <c r="B84" i="4"/>
  <c r="D84" i="4" s="1"/>
  <c r="B85" i="4"/>
  <c r="D85" i="4" s="1"/>
  <c r="B86" i="4"/>
  <c r="D86" i="4" s="1"/>
  <c r="B87" i="4"/>
  <c r="D87" i="4" s="1"/>
  <c r="B88" i="4"/>
  <c r="D88" i="4" s="1"/>
  <c r="B89" i="4"/>
  <c r="D89" i="4" s="1"/>
  <c r="B90" i="4"/>
  <c r="D90" i="4" s="1"/>
  <c r="B91" i="4"/>
  <c r="D91" i="4" s="1"/>
  <c r="B92" i="4"/>
  <c r="D92" i="4" s="1"/>
  <c r="B93" i="4"/>
  <c r="D93" i="4" s="1"/>
  <c r="B94" i="4"/>
  <c r="D94" i="4" s="1"/>
  <c r="B95" i="4"/>
  <c r="D95" i="4" s="1"/>
  <c r="B96" i="4"/>
  <c r="D96" i="4" s="1"/>
  <c r="B16" i="4"/>
  <c r="D16" i="4" s="1"/>
  <c r="B15" i="3"/>
  <c r="B16" i="3" s="1"/>
  <c r="B10" i="3"/>
  <c r="B9" i="3"/>
  <c r="B12" i="3" l="1"/>
  <c r="B18" i="3" s="1"/>
</calcChain>
</file>

<file path=xl/sharedStrings.xml><?xml version="1.0" encoding="utf-8"?>
<sst xmlns="http://schemas.openxmlformats.org/spreadsheetml/2006/main" count="89" uniqueCount="58">
  <si>
    <t>Yield</t>
  </si>
  <si>
    <t>Nitrogen ^2</t>
  </si>
  <si>
    <t>Nitrogen</t>
  </si>
  <si>
    <t>SeedPop</t>
  </si>
  <si>
    <t>SeedPop^2</t>
  </si>
  <si>
    <t>SeedPop*Nitrogen</t>
  </si>
  <si>
    <t>Ownership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</si>
  <si>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</si>
  <si>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</si>
  <si>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</si>
  <si>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</si>
  <si>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</si>
  <si>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</si>
  <si>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</si>
  <si>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</si>
  <si>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</si>
  <si>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</si>
  <si>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</si>
  <si>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</si>
  <si>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</si>
  <si>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</si>
  <si>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</si>
  <si>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</si>
  <si>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</si>
  <si>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</si>
  <si>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</si>
  <si>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</si>
  <si>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</si>
  <si>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</si>
  <si>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</si>
  <si>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</si>
  <si>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Profit</t>
  </si>
  <si>
    <t>Nitrogen Use</t>
  </si>
  <si>
    <t>Seed Population</t>
  </si>
  <si>
    <t>Seed</t>
  </si>
  <si>
    <t>Fixed Costs</t>
  </si>
  <si>
    <t>Costs</t>
  </si>
  <si>
    <t>Revenue</t>
  </si>
  <si>
    <t>Variable Costs</t>
  </si>
  <si>
    <t>Total Costs</t>
  </si>
  <si>
    <t>Total Revenue</t>
  </si>
  <si>
    <t>Per-Unit Values</t>
  </si>
  <si>
    <t>Input Costs</t>
  </si>
  <si>
    <t>$/bu</t>
  </si>
  <si>
    <t>$/sachet</t>
  </si>
  <si>
    <t>$/gallon</t>
  </si>
  <si>
    <t>gallons</t>
  </si>
  <si>
    <t>sachets</t>
  </si>
  <si>
    <t>$</t>
  </si>
  <si>
    <t>bushels</t>
  </si>
  <si>
    <t>&lt;-Paste regression results here</t>
  </si>
  <si>
    <t>Fix Seed Sachets:</t>
  </si>
  <si>
    <t>TPP</t>
  </si>
  <si>
    <t>MPP</t>
  </si>
  <si>
    <t>APP</t>
  </si>
  <si>
    <t>Fix Ownership</t>
  </si>
  <si>
    <t>Lentil</t>
  </si>
  <si>
    <t>Lentil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</si>
</sst>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6" borderId="4" xfId="0" applyFill="1" applyBorder="1"/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4" xfId="0" applyFont="1" applyFill="1" applyBorder="1" applyAlignment="1">
      <alignment horizontal="left" indent="1"/>
    </xf>
    <xf numFmtId="0" fontId="4" fillId="3" borderId="4" xfId="0" applyFont="1" applyFill="1" applyBorder="1"/>
    <xf numFmtId="0" fontId="1" fillId="3" borderId="4" xfId="0" applyFont="1" applyFill="1" applyBorder="1"/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4" borderId="4" xfId="0" applyFont="1" applyFill="1" applyBorder="1"/>
    <xf numFmtId="0" fontId="3" fillId="5" borderId="4" xfId="0" applyFont="1" applyFill="1" applyBorder="1"/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6" borderId="4" xfId="0" applyFont="1" applyFill="1" applyBorder="1"/>
    <xf numFmtId="0" fontId="2" fillId="6" borderId="4" xfId="0" applyFont="1" applyFill="1" applyBorder="1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MPP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'Production Stages'!$A$16:$A$215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'Production Stages'!$C$16:$C$215</c:f>
              <c:numCache>
                <c:formatCode>0.00</c:formatCode>
                <c:ptCount val="200"/>
                <c:pt idx="0">
                  <c:v>0.70788421021371473</c:v>
                </c:pt>
                <c:pt idx="1">
                  <c:v>0.70385608026363089</c:v>
                </c:pt>
                <c:pt idx="2">
                  <c:v>0.69982795031354694</c:v>
                </c:pt>
                <c:pt idx="3">
                  <c:v>0.69579982036346322</c:v>
                </c:pt>
                <c:pt idx="4">
                  <c:v>0.69177169041337927</c:v>
                </c:pt>
                <c:pt idx="5">
                  <c:v>0.68774356046329543</c:v>
                </c:pt>
                <c:pt idx="6">
                  <c:v>0.6837154305132116</c:v>
                </c:pt>
                <c:pt idx="7">
                  <c:v>0.67968730056312765</c:v>
                </c:pt>
                <c:pt idx="8">
                  <c:v>0.67565917061304392</c:v>
                </c:pt>
                <c:pt idx="9">
                  <c:v>0.67163104066295998</c:v>
                </c:pt>
                <c:pt idx="10">
                  <c:v>0.66760291071287625</c:v>
                </c:pt>
                <c:pt idx="11">
                  <c:v>0.6635747807627923</c:v>
                </c:pt>
                <c:pt idx="12">
                  <c:v>0.65954665081270847</c:v>
                </c:pt>
                <c:pt idx="13">
                  <c:v>0.65551852086262463</c:v>
                </c:pt>
                <c:pt idx="14">
                  <c:v>0.65149039091254068</c:v>
                </c:pt>
                <c:pt idx="15">
                  <c:v>0.64746226096245696</c:v>
                </c:pt>
                <c:pt idx="16">
                  <c:v>0.64343413101237301</c:v>
                </c:pt>
                <c:pt idx="17">
                  <c:v>0.63940600106228929</c:v>
                </c:pt>
                <c:pt idx="18">
                  <c:v>0.63537787111220534</c:v>
                </c:pt>
                <c:pt idx="19">
                  <c:v>0.6313497411621215</c:v>
                </c:pt>
                <c:pt idx="20">
                  <c:v>0.62732161121203767</c:v>
                </c:pt>
                <c:pt idx="21">
                  <c:v>0.62329348126195372</c:v>
                </c:pt>
                <c:pt idx="22">
                  <c:v>0.61926535131186999</c:v>
                </c:pt>
                <c:pt idx="23">
                  <c:v>0.61523722136178605</c:v>
                </c:pt>
                <c:pt idx="24">
                  <c:v>0.61120909141170221</c:v>
                </c:pt>
                <c:pt idx="25">
                  <c:v>0.60718096146161837</c:v>
                </c:pt>
                <c:pt idx="26">
                  <c:v>0.60315283151153443</c:v>
                </c:pt>
                <c:pt idx="27">
                  <c:v>0.5991247015614507</c:v>
                </c:pt>
                <c:pt idx="28">
                  <c:v>0.59509657161136675</c:v>
                </c:pt>
                <c:pt idx="29">
                  <c:v>0.59106844166128303</c:v>
                </c:pt>
                <c:pt idx="30">
                  <c:v>0.58704031171119908</c:v>
                </c:pt>
                <c:pt idx="31">
                  <c:v>0.58301218176111524</c:v>
                </c:pt>
                <c:pt idx="32">
                  <c:v>0.57898405181103141</c:v>
                </c:pt>
                <c:pt idx="33">
                  <c:v>0.57495592186094746</c:v>
                </c:pt>
                <c:pt idx="34">
                  <c:v>0.57092779191086374</c:v>
                </c:pt>
                <c:pt idx="35">
                  <c:v>0.56689966196077979</c:v>
                </c:pt>
                <c:pt idx="36">
                  <c:v>0.56287153201069606</c:v>
                </c:pt>
                <c:pt idx="37">
                  <c:v>0.55884340206061212</c:v>
                </c:pt>
                <c:pt idx="38">
                  <c:v>0.55481527211052828</c:v>
                </c:pt>
                <c:pt idx="39">
                  <c:v>0.55078714216044444</c:v>
                </c:pt>
                <c:pt idx="40">
                  <c:v>0.5467590122103605</c:v>
                </c:pt>
                <c:pt idx="41">
                  <c:v>0.54273088226027677</c:v>
                </c:pt>
                <c:pt idx="42">
                  <c:v>0.53870275231019282</c:v>
                </c:pt>
                <c:pt idx="43">
                  <c:v>0.53467462236010899</c:v>
                </c:pt>
                <c:pt idx="44">
                  <c:v>0.53064649241002515</c:v>
                </c:pt>
                <c:pt idx="45">
                  <c:v>0.52661836245994131</c:v>
                </c:pt>
                <c:pt idx="46">
                  <c:v>0.52259023250985748</c:v>
                </c:pt>
                <c:pt idx="47">
                  <c:v>0.51856210255977353</c:v>
                </c:pt>
                <c:pt idx="48">
                  <c:v>0.51453397260968969</c:v>
                </c:pt>
                <c:pt idx="49">
                  <c:v>0.51050584265960586</c:v>
                </c:pt>
                <c:pt idx="50">
                  <c:v>0.50647771270952202</c:v>
                </c:pt>
                <c:pt idx="51">
                  <c:v>0.50244958275943818</c:v>
                </c:pt>
                <c:pt idx="52">
                  <c:v>0.49842145280935435</c:v>
                </c:pt>
                <c:pt idx="53">
                  <c:v>0.49439332285927046</c:v>
                </c:pt>
                <c:pt idx="54">
                  <c:v>0.49036519290918662</c:v>
                </c:pt>
                <c:pt idx="55">
                  <c:v>0.48633706295910273</c:v>
                </c:pt>
                <c:pt idx="56">
                  <c:v>0.48230893300901889</c:v>
                </c:pt>
                <c:pt idx="57">
                  <c:v>0.47828080305893506</c:v>
                </c:pt>
                <c:pt idx="58">
                  <c:v>0.47425267310885122</c:v>
                </c:pt>
                <c:pt idx="59">
                  <c:v>0.47022454315876733</c:v>
                </c:pt>
                <c:pt idx="60">
                  <c:v>0.46619641320868349</c:v>
                </c:pt>
                <c:pt idx="61">
                  <c:v>0.4621682832585996</c:v>
                </c:pt>
                <c:pt idx="62">
                  <c:v>0.45814015330851576</c:v>
                </c:pt>
                <c:pt idx="63">
                  <c:v>0.45411202335843193</c:v>
                </c:pt>
                <c:pt idx="64">
                  <c:v>0.45008389340834809</c:v>
                </c:pt>
                <c:pt idx="65">
                  <c:v>0.4460557634582642</c:v>
                </c:pt>
                <c:pt idx="66">
                  <c:v>0.44202763350818036</c:v>
                </c:pt>
                <c:pt idx="67">
                  <c:v>0.43799950355809653</c:v>
                </c:pt>
                <c:pt idx="68">
                  <c:v>0.43397137360801263</c:v>
                </c:pt>
                <c:pt idx="69">
                  <c:v>0.4299432436579288</c:v>
                </c:pt>
                <c:pt idx="70">
                  <c:v>0.42591511370784496</c:v>
                </c:pt>
                <c:pt idx="71">
                  <c:v>0.42188698375776112</c:v>
                </c:pt>
                <c:pt idx="72">
                  <c:v>0.41785885380767723</c:v>
                </c:pt>
                <c:pt idx="73">
                  <c:v>0.4138307238575934</c:v>
                </c:pt>
                <c:pt idx="74">
                  <c:v>0.40980259390750956</c:v>
                </c:pt>
                <c:pt idx="75">
                  <c:v>0.40577446395742567</c:v>
                </c:pt>
                <c:pt idx="76">
                  <c:v>0.40174633400734183</c:v>
                </c:pt>
                <c:pt idx="77">
                  <c:v>0.397718204057258</c:v>
                </c:pt>
                <c:pt idx="78">
                  <c:v>0.3936900741071741</c:v>
                </c:pt>
                <c:pt idx="79">
                  <c:v>0.38966194415709027</c:v>
                </c:pt>
                <c:pt idx="80">
                  <c:v>0.38563381420700643</c:v>
                </c:pt>
                <c:pt idx="81">
                  <c:v>0.38160568425692254</c:v>
                </c:pt>
                <c:pt idx="82">
                  <c:v>0.3775775543068387</c:v>
                </c:pt>
                <c:pt idx="83">
                  <c:v>0.37354942435675487</c:v>
                </c:pt>
                <c:pt idx="84">
                  <c:v>0.36952129440667097</c:v>
                </c:pt>
                <c:pt idx="85">
                  <c:v>0.36549316445658714</c:v>
                </c:pt>
                <c:pt idx="86">
                  <c:v>0.3614650345065033</c:v>
                </c:pt>
                <c:pt idx="87">
                  <c:v>0.35743690455641941</c:v>
                </c:pt>
                <c:pt idx="88">
                  <c:v>0.35340877460633557</c:v>
                </c:pt>
                <c:pt idx="89">
                  <c:v>0.34938064465625174</c:v>
                </c:pt>
                <c:pt idx="90">
                  <c:v>0.3453525147061679</c:v>
                </c:pt>
                <c:pt idx="91">
                  <c:v>0.34132438475608401</c:v>
                </c:pt>
                <c:pt idx="92">
                  <c:v>0.33729625480600017</c:v>
                </c:pt>
                <c:pt idx="93">
                  <c:v>0.33326812485591634</c:v>
                </c:pt>
                <c:pt idx="94">
                  <c:v>0.32923999490583244</c:v>
                </c:pt>
                <c:pt idx="95">
                  <c:v>0.32521186495574861</c:v>
                </c:pt>
                <c:pt idx="96">
                  <c:v>0.32118373500566477</c:v>
                </c:pt>
                <c:pt idx="97">
                  <c:v>0.31715560505558088</c:v>
                </c:pt>
                <c:pt idx="98">
                  <c:v>0.31312747510549704</c:v>
                </c:pt>
                <c:pt idx="99">
                  <c:v>0.30909934515541321</c:v>
                </c:pt>
                <c:pt idx="100">
                  <c:v>0.30507121520532932</c:v>
                </c:pt>
                <c:pt idx="101">
                  <c:v>0.30104308525524548</c:v>
                </c:pt>
                <c:pt idx="102">
                  <c:v>0.29701495530516164</c:v>
                </c:pt>
                <c:pt idx="103">
                  <c:v>0.29298682535507781</c:v>
                </c:pt>
                <c:pt idx="104">
                  <c:v>0.28895869540499391</c:v>
                </c:pt>
                <c:pt idx="105">
                  <c:v>0.28493056545491008</c:v>
                </c:pt>
                <c:pt idx="106">
                  <c:v>0.28090243550482624</c:v>
                </c:pt>
                <c:pt idx="107">
                  <c:v>0.27687430555474235</c:v>
                </c:pt>
                <c:pt idx="108">
                  <c:v>0.27284617560465851</c:v>
                </c:pt>
                <c:pt idx="109">
                  <c:v>0.26881804565457468</c:v>
                </c:pt>
                <c:pt idx="110">
                  <c:v>0.26478991570449079</c:v>
                </c:pt>
                <c:pt idx="111">
                  <c:v>0.26076178575440695</c:v>
                </c:pt>
                <c:pt idx="112">
                  <c:v>0.25673365580432311</c:v>
                </c:pt>
                <c:pt idx="113">
                  <c:v>0.25270552585423922</c:v>
                </c:pt>
                <c:pt idx="114">
                  <c:v>0.24867739590415538</c:v>
                </c:pt>
                <c:pt idx="115">
                  <c:v>0.24464926595407155</c:v>
                </c:pt>
                <c:pt idx="116">
                  <c:v>0.24062113600398766</c:v>
                </c:pt>
                <c:pt idx="117">
                  <c:v>0.23659300605390382</c:v>
                </c:pt>
                <c:pt idx="118">
                  <c:v>0.23256487610381998</c:v>
                </c:pt>
                <c:pt idx="119">
                  <c:v>0.22853674615373609</c:v>
                </c:pt>
                <c:pt idx="120">
                  <c:v>0.22450861620365226</c:v>
                </c:pt>
                <c:pt idx="121">
                  <c:v>0.22048048625356842</c:v>
                </c:pt>
                <c:pt idx="122">
                  <c:v>0.21645235630348458</c:v>
                </c:pt>
                <c:pt idx="123">
                  <c:v>0.21242422635340069</c:v>
                </c:pt>
                <c:pt idx="124">
                  <c:v>0.2083960964033168</c:v>
                </c:pt>
                <c:pt idx="125">
                  <c:v>0.20436796645323296</c:v>
                </c:pt>
                <c:pt idx="126">
                  <c:v>0.20033983650314913</c:v>
                </c:pt>
                <c:pt idx="127">
                  <c:v>0.19631170655306529</c:v>
                </c:pt>
                <c:pt idx="128">
                  <c:v>0.19228357660298145</c:v>
                </c:pt>
                <c:pt idx="129">
                  <c:v>0.18825544665289762</c:v>
                </c:pt>
                <c:pt idx="130">
                  <c:v>0.18422731670281378</c:v>
                </c:pt>
                <c:pt idx="131">
                  <c:v>0.18019918675272983</c:v>
                </c:pt>
                <c:pt idx="132">
                  <c:v>0.176171056802646</c:v>
                </c:pt>
                <c:pt idx="133">
                  <c:v>0.17214292685256216</c:v>
                </c:pt>
                <c:pt idx="134">
                  <c:v>0.16811479690247833</c:v>
                </c:pt>
                <c:pt idx="135">
                  <c:v>0.16408666695239449</c:v>
                </c:pt>
                <c:pt idx="136">
                  <c:v>0.16005853700231065</c:v>
                </c:pt>
                <c:pt idx="137">
                  <c:v>0.15603040705222671</c:v>
                </c:pt>
                <c:pt idx="138">
                  <c:v>0.15200227710214287</c:v>
                </c:pt>
                <c:pt idx="139">
                  <c:v>0.14797414715205903</c:v>
                </c:pt>
                <c:pt idx="140">
                  <c:v>0.1439460172019752</c:v>
                </c:pt>
                <c:pt idx="141">
                  <c:v>0.13991788725189136</c:v>
                </c:pt>
                <c:pt idx="142">
                  <c:v>0.13588975730180752</c:v>
                </c:pt>
                <c:pt idx="143">
                  <c:v>0.13186162735172369</c:v>
                </c:pt>
                <c:pt idx="144">
                  <c:v>0.12783349740163974</c:v>
                </c:pt>
                <c:pt idx="145">
                  <c:v>0.1238053674515559</c:v>
                </c:pt>
                <c:pt idx="146">
                  <c:v>0.11977723750147207</c:v>
                </c:pt>
                <c:pt idx="147">
                  <c:v>0.11574910755138823</c:v>
                </c:pt>
                <c:pt idx="148">
                  <c:v>0.11172097760130439</c:v>
                </c:pt>
                <c:pt idx="149">
                  <c:v>0.10769284765122056</c:v>
                </c:pt>
                <c:pt idx="150">
                  <c:v>0.10366471770113661</c:v>
                </c:pt>
                <c:pt idx="151">
                  <c:v>9.9636587751052774E-2</c:v>
                </c:pt>
                <c:pt idx="152">
                  <c:v>9.5608457800968938E-2</c:v>
                </c:pt>
                <c:pt idx="153">
                  <c:v>9.1580327850885102E-2</c:v>
                </c:pt>
                <c:pt idx="154">
                  <c:v>8.7552197900801265E-2</c:v>
                </c:pt>
                <c:pt idx="155">
                  <c:v>8.3524067950717429E-2</c:v>
                </c:pt>
                <c:pt idx="156">
                  <c:v>7.9495938000633481E-2</c:v>
                </c:pt>
                <c:pt idx="157">
                  <c:v>7.5467808050549645E-2</c:v>
                </c:pt>
                <c:pt idx="158">
                  <c:v>7.1439678100465809E-2</c:v>
                </c:pt>
                <c:pt idx="159">
                  <c:v>6.7411548150381972E-2</c:v>
                </c:pt>
                <c:pt idx="160">
                  <c:v>6.3383418200298136E-2</c:v>
                </c:pt>
                <c:pt idx="161">
                  <c:v>5.93552882502143E-2</c:v>
                </c:pt>
                <c:pt idx="162">
                  <c:v>5.5327158300130463E-2</c:v>
                </c:pt>
                <c:pt idx="163">
                  <c:v>5.1299028350046516E-2</c:v>
                </c:pt>
                <c:pt idx="164">
                  <c:v>4.727089839996268E-2</c:v>
                </c:pt>
                <c:pt idx="165">
                  <c:v>4.3242768449878843E-2</c:v>
                </c:pt>
                <c:pt idx="166">
                  <c:v>3.9214638499795007E-2</c:v>
                </c:pt>
                <c:pt idx="167">
                  <c:v>3.5186508549711171E-2</c:v>
                </c:pt>
                <c:pt idx="168">
                  <c:v>3.1158378599627334E-2</c:v>
                </c:pt>
                <c:pt idx="169">
                  <c:v>2.7130248649543387E-2</c:v>
                </c:pt>
                <c:pt idx="170">
                  <c:v>2.3102118699459551E-2</c:v>
                </c:pt>
                <c:pt idx="171">
                  <c:v>1.9073988749375714E-2</c:v>
                </c:pt>
                <c:pt idx="172">
                  <c:v>1.5045858799291878E-2</c:v>
                </c:pt>
                <c:pt idx="173">
                  <c:v>1.1017728849208042E-2</c:v>
                </c:pt>
                <c:pt idx="174">
                  <c:v>6.9895988991242053E-3</c:v>
                </c:pt>
                <c:pt idx="175">
                  <c:v>2.9614689490402579E-3</c:v>
                </c:pt>
                <c:pt idx="176">
                  <c:v>-1.0666610010435784E-3</c:v>
                </c:pt>
                <c:pt idx="177">
                  <c:v>-5.0947909511274148E-3</c:v>
                </c:pt>
                <c:pt idx="178">
                  <c:v>-9.1229209012112511E-3</c:v>
                </c:pt>
                <c:pt idx="179">
                  <c:v>-1.3151050851295087E-2</c:v>
                </c:pt>
                <c:pt idx="180">
                  <c:v>-1.7179180801378924E-2</c:v>
                </c:pt>
                <c:pt idx="181">
                  <c:v>-2.120731075146276E-2</c:v>
                </c:pt>
                <c:pt idx="182">
                  <c:v>-2.5235440701546707E-2</c:v>
                </c:pt>
                <c:pt idx="183">
                  <c:v>-2.9263570651630544E-2</c:v>
                </c:pt>
                <c:pt idx="184">
                  <c:v>-3.329170060171438E-2</c:v>
                </c:pt>
                <c:pt idx="185">
                  <c:v>-3.7319830551798217E-2</c:v>
                </c:pt>
                <c:pt idx="186">
                  <c:v>-4.1347960501882053E-2</c:v>
                </c:pt>
                <c:pt idx="187">
                  <c:v>-4.5376090451965889E-2</c:v>
                </c:pt>
                <c:pt idx="188">
                  <c:v>-4.9404220402049837E-2</c:v>
                </c:pt>
                <c:pt idx="189">
                  <c:v>-5.3432350352133673E-2</c:v>
                </c:pt>
                <c:pt idx="190">
                  <c:v>-5.7460480302217509E-2</c:v>
                </c:pt>
                <c:pt idx="191">
                  <c:v>-6.1488610252301346E-2</c:v>
                </c:pt>
                <c:pt idx="192">
                  <c:v>-6.5516740202385182E-2</c:v>
                </c:pt>
                <c:pt idx="193">
                  <c:v>-6.9544870152469018E-2</c:v>
                </c:pt>
                <c:pt idx="194">
                  <c:v>-7.3573000102552855E-2</c:v>
                </c:pt>
                <c:pt idx="195">
                  <c:v>-7.7601130052636802E-2</c:v>
                </c:pt>
                <c:pt idx="196">
                  <c:v>-8.1629260002720638E-2</c:v>
                </c:pt>
                <c:pt idx="197">
                  <c:v>-8.5657389952804475E-2</c:v>
                </c:pt>
                <c:pt idx="198">
                  <c:v>-8.9685519902888311E-2</c:v>
                </c:pt>
                <c:pt idx="199">
                  <c:v>-9.3713649852972147E-2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EF-934F-B5BC-4D1F2B24FA0E}"/>
            </c:ext>
          </c:extLst>
        </c:ser>
        <c:ser>
          <c:idx val="1"/>
          <c:order val="1"/>
          <c:tx>
            <c:v>APP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'Production Stages'!$A$16:$A$215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'Production Stages'!$D$16:$D$215</c:f>
              <c:numCache>
                <c:formatCode>0.00</c:formatCode>
                <c:ptCount val="200"/>
                <c:pt idx="0">
                  <c:v>373.54945993525894</c:v>
                </c:pt>
                <c:pt idx="1">
                  <c:v>187.12766504024879</c:v>
                </c:pt>
                <c:pt idx="2">
                  <c:v>124.98572403192873</c:v>
                </c:pt>
                <c:pt idx="3">
                  <c:v>93.913746495281174</c:v>
                </c:pt>
                <c:pt idx="4">
                  <c:v>75.269754347302609</c:v>
                </c:pt>
                <c:pt idx="5">
                  <c:v>62.839754893658579</c:v>
                </c:pt>
                <c:pt idx="6">
                  <c:v>53.96060840820568</c:v>
                </c:pt>
                <c:pt idx="7">
                  <c:v>47.300745027872239</c:v>
                </c:pt>
                <c:pt idx="8">
                  <c:v>42.120403717618444</c:v>
                </c:pt>
                <c:pt idx="9">
                  <c:v>37.975727856420399</c:v>
                </c:pt>
                <c:pt idx="10">
                  <c:v>34.584263230899261</c:v>
                </c:pt>
                <c:pt idx="11">
                  <c:v>31.757707032135809</c:v>
                </c:pt>
                <c:pt idx="12">
                  <c:v>29.365695777032116</c:v>
                </c:pt>
                <c:pt idx="13">
                  <c:v>27.315112691946798</c:v>
                </c:pt>
                <c:pt idx="14">
                  <c:v>25.537672142876183</c:v>
                </c:pt>
                <c:pt idx="15">
                  <c:v>23.982159904317513</c:v>
                </c:pt>
                <c:pt idx="16">
                  <c:v>22.609412156768684</c:v>
                </c:pt>
                <c:pt idx="17">
                  <c:v>21.388968151728054</c:v>
                </c:pt>
                <c:pt idx="18">
                  <c:v>20.296779929852224</c:v>
                </c:pt>
                <c:pt idx="19">
                  <c:v>19.31360912366647</c:v>
                </c:pt>
                <c:pt idx="20">
                  <c:v>18.42388181664364</c:v>
                </c:pt>
                <c:pt idx="21">
                  <c:v>17.61485571344334</c:v>
                </c:pt>
                <c:pt idx="22">
                  <c:v>16.87600457008871</c:v>
                </c:pt>
                <c:pt idx="23">
                  <c:v>16.198556516599051</c:v>
                </c:pt>
                <c:pt idx="24">
                  <c:v>15.575143182190557</c:v>
                </c:pt>
                <c:pt idx="25">
                  <c:v>14.999529791584639</c:v>
                </c:pt>
                <c:pt idx="26">
                  <c:v>14.466405239914339</c:v>
                </c:pt>
                <c:pt idx="27">
                  <c:v>13.971217151579415</c:v>
                </c:pt>
                <c:pt idx="28">
                  <c:v>13.510041064855521</c:v>
                </c:pt>
                <c:pt idx="29">
                  <c:v>13.079475779581546</c:v>
                </c:pt>
                <c:pt idx="30">
                  <c:v>12.676558960133312</c:v>
                </c:pt>
                <c:pt idx="31">
                  <c:v>12.29869856283965</c:v>
                </c:pt>
                <c:pt idx="32">
                  <c:v>11.943616731141057</c:v>
                </c:pt>
                <c:pt idx="33">
                  <c:v>11.609303591602673</c:v>
                </c:pt>
                <c:pt idx="34">
                  <c:v>11.293978970610766</c:v>
                </c:pt>
                <c:pt idx="35">
                  <c:v>10.996060491619794</c:v>
                </c:pt>
                <c:pt idx="36">
                  <c:v>10.714136845818873</c:v>
                </c:pt>
                <c:pt idx="37">
                  <c:v>10.446945283219316</c:v>
                </c:pt>
                <c:pt idx="38">
                  <c:v>10.193352566651782</c:v>
                </c:pt>
                <c:pt idx="39">
                  <c:v>9.9523387826638761</c:v>
                </c:pt>
                <c:pt idx="40">
                  <c:v>9.7229835215546458</c:v>
                </c:pt>
                <c:pt idx="41">
                  <c:v>9.5044540316898996</c:v>
                </c:pt>
                <c:pt idx="42">
                  <c:v>9.2959950267037446</c:v>
                </c:pt>
                <c:pt idx="43">
                  <c:v>9.0969198826271853</c:v>
                </c:pt>
                <c:pt idx="44">
                  <c:v>8.9066030087329153</c:v>
                </c:pt>
                <c:pt idx="45">
                  <c:v>8.7244732134873093</c:v>
                </c:pt>
                <c:pt idx="46">
                  <c:v>8.5500079174021515</c:v>
                </c:pt>
                <c:pt idx="47">
                  <c:v>8.3827280892799152</c:v>
                </c:pt>
                <c:pt idx="48">
                  <c:v>8.2221938025106258</c:v>
                </c:pt>
                <c:pt idx="49">
                  <c:v>8.0680003246131058</c:v>
                </c:pt>
                <c:pt idx="50">
                  <c:v>7.9197746668301923</c:v>
                </c:pt>
                <c:pt idx="51">
                  <c:v>7.7771725318475839</c:v>
                </c:pt>
                <c:pt idx="52">
                  <c:v>7.6398756070539386</c:v>
                </c:pt>
                <c:pt idx="53">
                  <c:v>7.5075891585498713</c:v>
                </c:pt>
                <c:pt idx="54">
                  <c:v>7.3800398876286781</c:v>
                </c:pt>
                <c:pt idx="55">
                  <c:v>7.2569740169198464</c:v>
                </c:pt>
                <c:pt idx="56">
                  <c:v>7.1381555779911494</c:v>
                </c:pt>
                <c:pt idx="57">
                  <c:v>7.0233648760953349</c:v>
                </c:pt>
                <c:pt idx="58">
                  <c:v>6.9123971110442932</c:v>
                </c:pt>
                <c:pt idx="59">
                  <c:v>6.8050611359957855</c:v>
                </c:pt>
                <c:pt idx="60">
                  <c:v>6.7011783383267352</c:v>
                </c:pt>
                <c:pt idx="61">
                  <c:v>6.6005816288091044</c:v>
                </c:pt>
                <c:pt idx="62">
                  <c:v>6.5031145270547315</c:v>
                </c:pt>
                <c:pt idx="63">
                  <c:v>6.4086303326997118</c:v>
                </c:pt>
                <c:pt idx="64">
                  <c:v>6.3169913730948464</c:v>
                </c:pt>
                <c:pt idx="65">
                  <c:v>6.2280683193878525</c:v>
                </c:pt>
                <c:pt idx="66">
                  <c:v>6.1417395638519627</c:v>
                </c:pt>
                <c:pt idx="67">
                  <c:v>6.0578906521560967</c:v>
                </c:pt>
                <c:pt idx="68">
                  <c:v>5.9764137650028646</c:v>
                </c:pt>
                <c:pt idx="69">
                  <c:v>5.8972072441975802</c:v>
                </c:pt>
                <c:pt idx="70">
                  <c:v>5.8201751587677961</c:v>
                </c:pt>
                <c:pt idx="71">
                  <c:v>5.7452269072395312</c:v>
                </c:pt>
                <c:pt idx="72">
                  <c:v>5.6722768526031375</c:v>
                </c:pt>
                <c:pt idx="73">
                  <c:v>5.6012439868765087</c:v>
                </c:pt>
                <c:pt idx="74">
                  <c:v>5.5320516225032561</c:v>
                </c:pt>
                <c:pt idx="75">
                  <c:v>5.4646271081141675</c:v>
                </c:pt>
                <c:pt idx="76">
                  <c:v>5.3989015664371305</c:v>
                </c:pt>
                <c:pt idx="77">
                  <c:v>5.3348096523678379</c:v>
                </c:pt>
                <c:pt idx="78">
                  <c:v>5.2722893294148561</c:v>
                </c:pt>
                <c:pt idx="79">
                  <c:v>5.2112816629113219</c:v>
                </c:pt>
                <c:pt idx="80">
                  <c:v>5.1517306285442936</c:v>
                </c:pt>
                <c:pt idx="81">
                  <c:v>5.093582934894143</c:v>
                </c:pt>
                <c:pt idx="82">
                  <c:v>5.0367878588024286</c:v>
                </c:pt>
                <c:pt idx="83">
                  <c:v>4.981297092499207</c:v>
                </c:pt>
                <c:pt idx="84">
                  <c:v>4.9270646015213542</c:v>
                </c:pt>
                <c:pt idx="85">
                  <c:v>4.8740464925435676</c:v>
                </c:pt>
                <c:pt idx="86">
                  <c:v>4.8222008903244635</c:v>
                </c:pt>
                <c:pt idx="87">
                  <c:v>4.7714878230427251</c:v>
                </c:pt>
                <c:pt idx="88">
                  <c:v>4.7218691153633836</c:v>
                </c:pt>
                <c:pt idx="89">
                  <c:v>4.6733082886330273</c:v>
                </c:pt>
                <c:pt idx="90">
                  <c:v>4.625770467655534</c:v>
                </c:pt>
                <c:pt idx="91">
                  <c:v>4.5792222935476605</c:v>
                </c:pt>
                <c:pt idx="92">
                  <c:v>4.5336318422168365</c:v>
                </c:pt>
                <c:pt idx="93">
                  <c:v>4.4889685480425188</c:v>
                </c:pt>
                <c:pt idx="94">
                  <c:v>4.4452031323776593</c:v>
                </c:pt>
                <c:pt idx="95">
                  <c:v>4.4023075365188378</c:v>
                </c:pt>
                <c:pt idx="96">
                  <c:v>4.360254858822568</c:v>
                </c:pt>
                <c:pt idx="97">
                  <c:v>4.3190192956716302</c:v>
                </c:pt>
                <c:pt idx="98">
                  <c:v>4.2785760860191955</c:v>
                </c:pt>
                <c:pt idx="99">
                  <c:v>4.2389014592603083</c:v>
                </c:pt>
                <c:pt idx="100">
                  <c:v>4.1999725862001105</c:v>
                </c:pt>
                <c:pt idx="101">
                  <c:v>4.1617675329062891</c:v>
                </c:pt>
                <c:pt idx="102">
                  <c:v>4.1242652172497243</c:v>
                </c:pt>
                <c:pt idx="103">
                  <c:v>4.0874453679524203</c:v>
                </c:pt>
                <c:pt idx="104">
                  <c:v>4.0512884859755411</c:v>
                </c:pt>
                <c:pt idx="105">
                  <c:v>4.0157758080930348</c:v>
                </c:pt>
                <c:pt idx="106">
                  <c:v>3.9808892725078655</c:v>
                </c:pt>
                <c:pt idx="107">
                  <c:v>3.9466114863784387</c:v>
                </c:pt>
                <c:pt idx="108">
                  <c:v>3.9129256951325786</c:v>
                </c:pt>
                <c:pt idx="109">
                  <c:v>3.8798157534552793</c:v>
                </c:pt>
                <c:pt idx="110">
                  <c:v>3.8472660978446869</c:v>
                </c:pt>
                <c:pt idx="111">
                  <c:v>3.815261720638301</c:v>
                </c:pt>
                <c:pt idx="112">
                  <c:v>3.7837881454183102</c:v>
                </c:pt>
                <c:pt idx="113">
                  <c:v>3.7528314037113888</c:v>
                </c:pt>
                <c:pt idx="114">
                  <c:v>3.7223780129041524</c:v>
                </c:pt>
                <c:pt idx="115">
                  <c:v>3.6924149553009191</c:v>
                </c:pt>
                <c:pt idx="116">
                  <c:v>3.6629296582554334</c:v>
                </c:pt>
                <c:pt idx="117">
                  <c:v>3.6339099753128359</c:v>
                </c:pt>
                <c:pt idx="118">
                  <c:v>3.6053441683024658</c:v>
                </c:pt>
                <c:pt idx="119">
                  <c:v>3.5772208903260188</c:v>
                </c:pt>
                <c:pt idx="120">
                  <c:v>3.5495291695892641</c:v>
                </c:pt>
                <c:pt idx="121">
                  <c:v>3.5222583940289311</c:v>
                </c:pt>
                <c:pt idx="122">
                  <c:v>3.4953982966894968</c:v>
                </c:pt>
                <c:pt idx="123">
                  <c:v>3.4689389418075529</c:v>
                </c:pt>
                <c:pt idx="124">
                  <c:v>3.4428707115641193</c:v>
                </c:pt>
                <c:pt idx="125">
                  <c:v>3.4171842934678032</c:v>
                </c:pt>
                <c:pt idx="126">
                  <c:v>3.3918706683340263</c:v>
                </c:pt>
                <c:pt idx="127">
                  <c:v>3.3669210988277301</c:v>
                </c:pt>
                <c:pt idx="128">
                  <c:v>3.3423271185389729</c:v>
                </c:pt>
                <c:pt idx="129">
                  <c:v>3.3180805215627336</c:v>
                </c:pt>
                <c:pt idx="130">
                  <c:v>3.2941733525559789</c:v>
                </c:pt>
                <c:pt idx="131">
                  <c:v>3.2705978972466752</c:v>
                </c:pt>
                <c:pt idx="132">
                  <c:v>3.2473466733709686</c:v>
                </c:pt>
                <c:pt idx="133">
                  <c:v>3.224412422016167</c:v>
                </c:pt>
                <c:pt idx="134">
                  <c:v>3.2017880993484731</c:v>
                </c:pt>
                <c:pt idx="135">
                  <c:v>3.1794668687056715</c:v>
                </c:pt>
                <c:pt idx="136">
                  <c:v>3.157442093036122</c:v>
                </c:pt>
                <c:pt idx="137">
                  <c:v>3.1357073276664922</c:v>
                </c:pt>
                <c:pt idx="138">
                  <c:v>3.1142563133816772</c:v>
                </c:pt>
                <c:pt idx="139">
                  <c:v>3.0930829698012872</c:v>
                </c:pt>
                <c:pt idx="140">
                  <c:v>3.0721813890379943</c:v>
                </c:pt>
                <c:pt idx="141">
                  <c:v>3.0515458296238323</c:v>
                </c:pt>
                <c:pt idx="142">
                  <c:v>3.0311707106913355</c:v>
                </c:pt>
                <c:pt idx="143">
                  <c:v>3.0110506063971374</c:v>
                </c:pt>
                <c:pt idx="144">
                  <c:v>2.9911802405763068</c:v>
                </c:pt>
                <c:pt idx="145">
                  <c:v>2.9715544816163773</c:v>
                </c:pt>
                <c:pt idx="146">
                  <c:v>2.9521683375405958</c:v>
                </c:pt>
                <c:pt idx="147">
                  <c:v>2.9330169512905</c:v>
                </c:pt>
                <c:pt idx="148">
                  <c:v>2.9140955961984587</c:v>
                </c:pt>
                <c:pt idx="149">
                  <c:v>2.8953996716413104</c:v>
                </c:pt>
                <c:pt idx="150">
                  <c:v>2.876924698866707</c:v>
                </c:pt>
                <c:pt idx="151">
                  <c:v>2.8586663169842033</c:v>
                </c:pt>
                <c:pt idx="152">
                  <c:v>2.8406202791135611</c:v>
                </c:pt>
                <c:pt idx="153">
                  <c:v>2.8227824486831219</c:v>
                </c:pt>
                <c:pt idx="154">
                  <c:v>2.805148795871462</c:v>
                </c:pt>
                <c:pt idx="155">
                  <c:v>2.7877153941859127</c:v>
                </c:pt>
                <c:pt idx="156">
                  <c:v>2.7704784171718351</c:v>
                </c:pt>
                <c:pt idx="157">
                  <c:v>2.753434135246859</c:v>
                </c:pt>
                <c:pt idx="158">
                  <c:v>2.7365789126545859</c:v>
                </c:pt>
                <c:pt idx="159">
                  <c:v>2.7199092045325286</c:v>
                </c:pt>
                <c:pt idx="160">
                  <c:v>2.7034215540893167</c:v>
                </c:pt>
                <c:pt idx="161">
                  <c:v>2.6871125898864521</c:v>
                </c:pt>
                <c:pt idx="162">
                  <c:v>2.6709790232201249</c:v>
                </c:pt>
                <c:pt idx="163">
                  <c:v>2.6550176455988139</c:v>
                </c:pt>
                <c:pt idx="164">
                  <c:v>2.6392253263126086</c:v>
                </c:pt>
                <c:pt idx="165">
                  <c:v>2.6235990100903934</c:v>
                </c:pt>
                <c:pt idx="166">
                  <c:v>2.608135714841199</c:v>
                </c:pt>
                <c:pt idx="167">
                  <c:v>2.5928325294762202</c:v>
                </c:pt>
                <c:pt idx="168">
                  <c:v>2.5776866118081641</c:v>
                </c:pt>
                <c:pt idx="169">
                  <c:v>2.5626951865247309</c:v>
                </c:pt>
                <c:pt idx="170">
                  <c:v>2.5478555432332093</c:v>
                </c:pt>
                <c:pt idx="171">
                  <c:v>2.5331650345732744</c:v>
                </c:pt>
                <c:pt idx="172">
                  <c:v>2.518621074395246</c:v>
                </c:pt>
                <c:pt idx="173">
                  <c:v>2.5042211360011595</c:v>
                </c:pt>
                <c:pt idx="174">
                  <c:v>2.4899627504461481</c:v>
                </c:pt>
                <c:pt idx="175">
                  <c:v>2.475843504897727</c:v>
                </c:pt>
                <c:pt idx="176">
                  <c:v>2.4618610410507005</c:v>
                </c:pt>
                <c:pt idx="177">
                  <c:v>2.4480130535954938</c:v>
                </c:pt>
                <c:pt idx="178">
                  <c:v>2.4342972887378309</c:v>
                </c:pt>
                <c:pt idx="179">
                  <c:v>2.4207115427677528</c:v>
                </c:pt>
                <c:pt idx="180">
                  <c:v>2.4072536606760728</c:v>
                </c:pt>
                <c:pt idx="181">
                  <c:v>2.3939215348164433</c:v>
                </c:pt>
                <c:pt idx="182">
                  <c:v>2.3807131036112907</c:v>
                </c:pt>
                <c:pt idx="183">
                  <c:v>2.3676263502999437</c:v>
                </c:pt>
                <c:pt idx="184">
                  <c:v>2.3546593017273674</c:v>
                </c:pt>
                <c:pt idx="185">
                  <c:v>2.3418100271719688</c:v>
                </c:pt>
                <c:pt idx="186">
                  <c:v>2.3290766372110125</c:v>
                </c:pt>
                <c:pt idx="187">
                  <c:v>2.3164572826222471</c:v>
                </c:pt>
                <c:pt idx="188">
                  <c:v>2.303950153320399</c:v>
                </c:pt>
                <c:pt idx="189">
                  <c:v>2.2915534773272546</c:v>
                </c:pt>
                <c:pt idx="190">
                  <c:v>2.2792655197740901</c:v>
                </c:pt>
                <c:pt idx="191">
                  <c:v>2.2670845819352805</c:v>
                </c:pt>
                <c:pt idx="192">
                  <c:v>2.2550090002919512</c:v>
                </c:pt>
                <c:pt idx="193">
                  <c:v>2.2430371456245832</c:v>
                </c:pt>
                <c:pt idx="194">
                  <c:v>2.2311674221335469</c:v>
                </c:pt>
                <c:pt idx="195">
                  <c:v>2.219398266586551</c:v>
                </c:pt>
                <c:pt idx="196">
                  <c:v>2.2077281474920625</c:v>
                </c:pt>
                <c:pt idx="197">
                  <c:v>2.1961555642977704</c:v>
                </c:pt>
                <c:pt idx="198">
                  <c:v>2.1846790466132195</c:v>
                </c:pt>
                <c:pt idx="199">
                  <c:v>2.1732971534557639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EF-934F-B5BC-4D1F2B24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38160"/>
        <c:axId val="602001344"/>
      </c:scatterChart>
      <c:valAx>
        <c:axId val="577738160"/>
        <c:scaling>
          <c:orientation val="minMax"/>
          <c:max val="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Nitrogen</a:t>
                </a:r>
                <a:r>
                  <a:rPr lang="en-US" baseline="0"/>
                  <a:t> (gallons)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001344"/>
        <c:crosses val="autoZero"/>
        <c:crossBetween val="midCat"/>
      </c:valAx>
      <c:valAx>
        <c:axId val="602001344"/>
        <c:scaling>
          <c:orientation val="minMax"/>
          <c:max val="4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Soybean Production (bushels)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3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654538</xdr:colOff>
      <xdr:row>3</xdr:row>
      <xdr:rowOff>97691</xdr:rowOff>
    </xdr:from>
    <xdr:to>
      <xdr:col>21</xdr:col>
      <xdr:colOff>482885</xdr:colOff>
      <xdr:row>5</xdr:row>
      <xdr:rowOff>78153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03D409-E817-7D48-AA79-50F709A9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00" y="683845"/>
          <a:ext cx="8776962" cy="371231"/>
        </a:xfrm>
        <a:prstGeom prst="rect">
          <a:avLst/>
        </a:prstGeom>
      </xdr:spPr>
    </xdr:pic>
    <xdr:clientData/>
  </xdr:twoCellAnchor>
  <xdr:twoCellAnchor editAs="oneCell">
    <xdr:from>
      <xdr:col>8</xdr:col>
      <xdr:colOff>81222</xdr:colOff>
      <xdr:row>7</xdr:row>
      <xdr:rowOff>39076</xdr:rowOff>
    </xdr:from>
    <xdr:to>
      <xdr:col>22</xdr:col>
      <xdr:colOff>377092</xdr:colOff>
      <xdr:row>10</xdr:row>
      <xdr:rowOff>126999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68DEB-71D3-3F4D-AD0D-EF6AFB8BA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6684" y="1406768"/>
          <a:ext cx="9918562" cy="674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5</xdr:row>
      <xdr:rowOff>9072</xdr:rowOff>
    </xdr:from>
    <xdr:to>
      <xdr:col>12</xdr:col>
      <xdr:colOff>689427</xdr:colOff>
      <xdr:row>28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891F9F-4889-834E-ADBB-946F9347D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8F6E-7144-7A42-802A-7B9005032666}">
  <dimension ref="A1:G102"/>
  <sheetViews>
    <sheetView tabSelected="1" zoomScale="130" zoomScaleNormal="130" workbookViewId="0">
      <selection activeCell="R16" sqref="R16"/>
    </sheetView>
  </sheetViews>
  <sheetFormatPr baseColWidth="10" defaultColWidth="8.83203125" defaultRowHeight="15" x14ac:dyDescent="0.2"/>
  <cols>
    <col min="1" max="1" width="18.33203125" customWidth="1"/>
    <col min="2" max="3" width="16.5" customWidth="1"/>
    <col min="4" max="4" width="12.5" customWidth="1"/>
    <col min="5" max="5" width="17.5" customWidth="1"/>
    <col min="10" max="10" width="11.33203125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125.45567915005019</v>
      </c>
      <c r="B2" s="1">
        <v>0</v>
      </c>
      <c r="C2" s="1">
        <v>0</v>
      </c>
      <c r="D2" s="1">
        <v>9</v>
      </c>
      <c r="E2" s="1">
        <v>81</v>
      </c>
      <c r="F2" s="1">
        <v>0</v>
      </c>
      <c r="G2" s="1">
        <v>0</v>
      </c>
    </row>
    <row r="3" spans="1:7" x14ac:dyDescent="0.2">
      <c r="A3" s="1">
        <v>141.40763346585132</v>
      </c>
      <c r="B3" s="1">
        <v>25</v>
      </c>
      <c r="C3" s="1">
        <v>625</v>
      </c>
      <c r="D3" s="1">
        <v>9</v>
      </c>
      <c r="E3" s="1">
        <v>81</v>
      </c>
      <c r="F3" s="1">
        <v>225</v>
      </c>
      <c r="G3" s="1">
        <v>0</v>
      </c>
    </row>
    <row r="4" spans="1:7" x14ac:dyDescent="0.2">
      <c r="A4" s="1">
        <v>150.46352652508833</v>
      </c>
      <c r="B4" s="1">
        <v>50</v>
      </c>
      <c r="C4" s="1">
        <v>2500</v>
      </c>
      <c r="D4" s="1">
        <v>9</v>
      </c>
      <c r="E4" s="1">
        <v>81</v>
      </c>
      <c r="F4" s="1">
        <v>450</v>
      </c>
      <c r="G4" s="1">
        <v>0</v>
      </c>
    </row>
    <row r="5" spans="1:7" x14ac:dyDescent="0.2">
      <c r="A5" s="1">
        <v>155.17812425165633</v>
      </c>
      <c r="B5" s="1">
        <v>75</v>
      </c>
      <c r="C5" s="1">
        <v>5625</v>
      </c>
      <c r="D5" s="1">
        <v>9</v>
      </c>
      <c r="E5" s="1">
        <v>81</v>
      </c>
      <c r="F5" s="1">
        <v>675</v>
      </c>
      <c r="G5" s="1">
        <v>0</v>
      </c>
    </row>
    <row r="6" spans="1:7" x14ac:dyDescent="0.2">
      <c r="A6" s="1">
        <v>165.26533945959795</v>
      </c>
      <c r="B6" s="1">
        <v>100</v>
      </c>
      <c r="C6" s="1">
        <v>10000</v>
      </c>
      <c r="D6" s="1">
        <v>9</v>
      </c>
      <c r="E6" s="1">
        <v>81</v>
      </c>
      <c r="F6" s="1">
        <v>900</v>
      </c>
      <c r="G6" s="1">
        <v>0</v>
      </c>
    </row>
    <row r="7" spans="1:7" x14ac:dyDescent="0.2">
      <c r="A7" s="1">
        <v>153.07330358799598</v>
      </c>
      <c r="B7" s="1">
        <v>125</v>
      </c>
      <c r="C7" s="1">
        <v>15625</v>
      </c>
      <c r="D7" s="1">
        <v>9</v>
      </c>
      <c r="E7" s="1">
        <v>81</v>
      </c>
      <c r="F7" s="1">
        <v>1125</v>
      </c>
      <c r="G7" s="1">
        <v>0</v>
      </c>
    </row>
    <row r="8" spans="1:7" x14ac:dyDescent="0.2">
      <c r="A8" s="1">
        <v>161.09614546767534</v>
      </c>
      <c r="B8" s="1">
        <v>150</v>
      </c>
      <c r="C8" s="1">
        <v>22500</v>
      </c>
      <c r="D8" s="1">
        <v>9</v>
      </c>
      <c r="E8" s="1">
        <v>81</v>
      </c>
      <c r="F8" s="1">
        <v>1350</v>
      </c>
      <c r="G8" s="1">
        <v>0</v>
      </c>
    </row>
    <row r="9" spans="1:7" x14ac:dyDescent="0.2">
      <c r="A9" s="1">
        <v>153.09950548413849</v>
      </c>
      <c r="B9" s="1">
        <v>175</v>
      </c>
      <c r="C9" s="1">
        <v>30625</v>
      </c>
      <c r="D9" s="1">
        <v>9</v>
      </c>
      <c r="E9" s="1">
        <v>81</v>
      </c>
      <c r="F9" s="1">
        <v>1575</v>
      </c>
      <c r="G9" s="1">
        <v>0</v>
      </c>
    </row>
    <row r="10" spans="1:7" x14ac:dyDescent="0.2">
      <c r="A10" s="1">
        <v>126.14242604570664</v>
      </c>
      <c r="B10" s="1">
        <v>0</v>
      </c>
      <c r="C10" s="1">
        <v>0</v>
      </c>
      <c r="D10" s="1">
        <v>11</v>
      </c>
      <c r="E10" s="1">
        <v>121</v>
      </c>
      <c r="F10" s="1">
        <v>0</v>
      </c>
      <c r="G10" s="1">
        <v>0</v>
      </c>
    </row>
    <row r="11" spans="1:7" x14ac:dyDescent="0.2">
      <c r="A11" s="1">
        <v>137.82227975157971</v>
      </c>
      <c r="B11" s="1">
        <v>25</v>
      </c>
      <c r="C11" s="1">
        <v>625</v>
      </c>
      <c r="D11" s="1">
        <v>11</v>
      </c>
      <c r="E11" s="1">
        <v>121</v>
      </c>
      <c r="F11" s="1">
        <v>275</v>
      </c>
      <c r="G11" s="1">
        <v>0</v>
      </c>
    </row>
    <row r="12" spans="1:7" x14ac:dyDescent="0.2">
      <c r="A12" s="1">
        <v>156.88029083696946</v>
      </c>
      <c r="B12" s="1">
        <v>50</v>
      </c>
      <c r="C12" s="1">
        <v>2500</v>
      </c>
      <c r="D12" s="1">
        <v>11</v>
      </c>
      <c r="E12" s="1">
        <v>121</v>
      </c>
      <c r="F12" s="1">
        <v>550</v>
      </c>
      <c r="G12" s="1">
        <v>0</v>
      </c>
    </row>
    <row r="13" spans="1:7" x14ac:dyDescent="0.2">
      <c r="A13" s="1">
        <v>156.62297402952393</v>
      </c>
      <c r="B13" s="1">
        <v>75</v>
      </c>
      <c r="C13" s="1">
        <v>5625</v>
      </c>
      <c r="D13" s="1">
        <v>11</v>
      </c>
      <c r="E13" s="1">
        <v>121</v>
      </c>
      <c r="F13" s="1">
        <v>825</v>
      </c>
      <c r="G13" s="1">
        <v>0</v>
      </c>
    </row>
    <row r="14" spans="1:7" x14ac:dyDescent="0.2">
      <c r="A14" s="1">
        <v>161.74126182518216</v>
      </c>
      <c r="B14" s="1">
        <v>100</v>
      </c>
      <c r="C14" s="1">
        <v>10000</v>
      </c>
      <c r="D14" s="1">
        <v>11</v>
      </c>
      <c r="E14" s="1">
        <v>121</v>
      </c>
      <c r="F14" s="1">
        <v>1100</v>
      </c>
      <c r="G14" s="1">
        <v>0</v>
      </c>
    </row>
    <row r="15" spans="1:7" x14ac:dyDescent="0.2">
      <c r="A15" s="1">
        <v>164.30239911034786</v>
      </c>
      <c r="B15" s="1">
        <v>125</v>
      </c>
      <c r="C15" s="1">
        <v>15625</v>
      </c>
      <c r="D15" s="1">
        <v>11</v>
      </c>
      <c r="E15" s="1">
        <v>121</v>
      </c>
      <c r="F15" s="1">
        <v>1375</v>
      </c>
      <c r="G15" s="1">
        <v>0</v>
      </c>
    </row>
    <row r="16" spans="1:7" x14ac:dyDescent="0.2">
      <c r="A16" s="1">
        <v>178.20025572744052</v>
      </c>
      <c r="B16" s="1">
        <v>150</v>
      </c>
      <c r="C16" s="1">
        <v>22500</v>
      </c>
      <c r="D16" s="1">
        <v>11</v>
      </c>
      <c r="E16" s="1">
        <v>121</v>
      </c>
      <c r="F16" s="1">
        <v>1650</v>
      </c>
      <c r="G16" s="1">
        <v>0</v>
      </c>
    </row>
    <row r="17" spans="1:7" x14ac:dyDescent="0.2">
      <c r="A17" s="1">
        <v>165.14425128081623</v>
      </c>
      <c r="B17" s="1">
        <v>175</v>
      </c>
      <c r="C17" s="1">
        <v>30625</v>
      </c>
      <c r="D17" s="1">
        <v>11</v>
      </c>
      <c r="E17" s="1">
        <v>121</v>
      </c>
      <c r="F17" s="1">
        <v>1925</v>
      </c>
      <c r="G17" s="1">
        <v>0</v>
      </c>
    </row>
    <row r="18" spans="1:7" x14ac:dyDescent="0.2">
      <c r="A18" s="1">
        <v>129.2426189834614</v>
      </c>
      <c r="B18" s="1">
        <v>0</v>
      </c>
      <c r="C18" s="1">
        <v>0</v>
      </c>
      <c r="D18" s="1">
        <v>13</v>
      </c>
      <c r="E18" s="1">
        <v>169</v>
      </c>
      <c r="F18" s="1">
        <v>0</v>
      </c>
      <c r="G18" s="1">
        <v>0</v>
      </c>
    </row>
    <row r="19" spans="1:7" x14ac:dyDescent="0.2">
      <c r="A19" s="1">
        <v>141.34385122923112</v>
      </c>
      <c r="B19" s="1">
        <v>25</v>
      </c>
      <c r="C19" s="1">
        <v>625</v>
      </c>
      <c r="D19" s="1">
        <v>13</v>
      </c>
      <c r="E19" s="1">
        <v>169</v>
      </c>
      <c r="F19" s="1">
        <v>325</v>
      </c>
      <c r="G19" s="1">
        <v>0</v>
      </c>
    </row>
    <row r="20" spans="1:7" x14ac:dyDescent="0.2">
      <c r="A20" s="1">
        <v>155.05613487844641</v>
      </c>
      <c r="B20" s="1">
        <v>50</v>
      </c>
      <c r="C20" s="1">
        <v>2500</v>
      </c>
      <c r="D20" s="1">
        <v>13</v>
      </c>
      <c r="E20" s="1">
        <v>169</v>
      </c>
      <c r="F20" s="1">
        <v>650</v>
      </c>
      <c r="G20" s="1">
        <v>0</v>
      </c>
    </row>
    <row r="21" spans="1:7" x14ac:dyDescent="0.2">
      <c r="A21" s="1">
        <v>162.6455445510579</v>
      </c>
      <c r="B21" s="1">
        <v>75</v>
      </c>
      <c r="C21" s="1">
        <v>5625</v>
      </c>
      <c r="D21" s="1">
        <v>13</v>
      </c>
      <c r="E21" s="1">
        <v>169</v>
      </c>
      <c r="F21" s="1">
        <v>975</v>
      </c>
      <c r="G21" s="1">
        <v>0</v>
      </c>
    </row>
    <row r="22" spans="1:7" x14ac:dyDescent="0.2">
      <c r="A22" s="1">
        <v>173.60752095139509</v>
      </c>
      <c r="B22" s="1">
        <v>100</v>
      </c>
      <c r="C22" s="1">
        <v>10000</v>
      </c>
      <c r="D22" s="1">
        <v>13</v>
      </c>
      <c r="E22" s="1">
        <v>169</v>
      </c>
      <c r="F22" s="1">
        <v>1300</v>
      </c>
      <c r="G22" s="1">
        <v>0</v>
      </c>
    </row>
    <row r="23" spans="1:7" x14ac:dyDescent="0.2">
      <c r="A23" s="1">
        <v>171.51616542208279</v>
      </c>
      <c r="B23" s="1">
        <v>125</v>
      </c>
      <c r="C23" s="1">
        <v>15625</v>
      </c>
      <c r="D23" s="1">
        <v>13</v>
      </c>
      <c r="E23" s="1">
        <v>169</v>
      </c>
      <c r="F23" s="1">
        <v>1625</v>
      </c>
      <c r="G23" s="1">
        <v>0</v>
      </c>
    </row>
    <row r="24" spans="1:7" x14ac:dyDescent="0.2">
      <c r="A24" s="1">
        <v>168.2522792786485</v>
      </c>
      <c r="B24" s="1">
        <v>150</v>
      </c>
      <c r="C24" s="1">
        <v>22500</v>
      </c>
      <c r="D24" s="1">
        <v>13</v>
      </c>
      <c r="E24" s="1">
        <v>169</v>
      </c>
      <c r="F24" s="1">
        <v>1950</v>
      </c>
      <c r="G24" s="1">
        <v>0</v>
      </c>
    </row>
    <row r="25" spans="1:7" x14ac:dyDescent="0.2">
      <c r="A25" s="1">
        <v>166.69374378848482</v>
      </c>
      <c r="B25" s="1">
        <v>175</v>
      </c>
      <c r="C25" s="1">
        <v>30625</v>
      </c>
      <c r="D25" s="1">
        <v>13</v>
      </c>
      <c r="E25" s="1">
        <v>169</v>
      </c>
      <c r="F25" s="1">
        <v>2275</v>
      </c>
      <c r="G25" s="1">
        <v>0</v>
      </c>
    </row>
    <row r="26" spans="1:7" x14ac:dyDescent="0.2">
      <c r="A26" s="1">
        <v>114.44722504580511</v>
      </c>
      <c r="B26" s="1">
        <v>0</v>
      </c>
      <c r="C26" s="1">
        <v>0</v>
      </c>
      <c r="D26" s="1">
        <v>15</v>
      </c>
      <c r="E26" s="1">
        <v>225</v>
      </c>
      <c r="F26" s="1">
        <v>0</v>
      </c>
      <c r="G26" s="1">
        <v>0</v>
      </c>
    </row>
    <row r="27" spans="1:7" x14ac:dyDescent="0.2">
      <c r="A27" s="1">
        <v>141.57987195188207</v>
      </c>
      <c r="B27" s="1">
        <v>25</v>
      </c>
      <c r="C27" s="1">
        <v>625</v>
      </c>
      <c r="D27" s="1">
        <v>15</v>
      </c>
      <c r="E27" s="1">
        <v>225</v>
      </c>
      <c r="F27" s="1">
        <v>375</v>
      </c>
      <c r="G27" s="1">
        <v>0</v>
      </c>
    </row>
    <row r="28" spans="1:7" x14ac:dyDescent="0.2">
      <c r="A28" s="1">
        <v>153.63088117976517</v>
      </c>
      <c r="B28" s="1">
        <v>50</v>
      </c>
      <c r="C28" s="1">
        <v>2500</v>
      </c>
      <c r="D28" s="1">
        <v>15</v>
      </c>
      <c r="E28" s="1">
        <v>225</v>
      </c>
      <c r="F28" s="1">
        <v>750</v>
      </c>
      <c r="G28" s="1">
        <v>0</v>
      </c>
    </row>
    <row r="29" spans="1:7" x14ac:dyDescent="0.2">
      <c r="A29" s="1">
        <v>158.61567913245722</v>
      </c>
      <c r="B29" s="1">
        <v>75</v>
      </c>
      <c r="C29" s="1">
        <v>5625</v>
      </c>
      <c r="D29" s="1">
        <v>15</v>
      </c>
      <c r="E29" s="1">
        <v>225</v>
      </c>
      <c r="F29" s="1">
        <v>1125</v>
      </c>
      <c r="G29" s="1">
        <v>0</v>
      </c>
    </row>
    <row r="30" spans="1:7" x14ac:dyDescent="0.2">
      <c r="A30" s="1">
        <v>168.73464360603455</v>
      </c>
      <c r="B30" s="1">
        <v>100</v>
      </c>
      <c r="C30" s="1">
        <v>10000</v>
      </c>
      <c r="D30" s="1">
        <v>15</v>
      </c>
      <c r="E30" s="1">
        <v>225</v>
      </c>
      <c r="F30" s="1">
        <v>1500</v>
      </c>
      <c r="G30" s="1">
        <v>0</v>
      </c>
    </row>
    <row r="31" spans="1:7" x14ac:dyDescent="0.2">
      <c r="A31" s="1">
        <v>172.1979650942074</v>
      </c>
      <c r="B31" s="1">
        <v>125</v>
      </c>
      <c r="C31" s="1">
        <v>15625</v>
      </c>
      <c r="D31" s="1">
        <v>15</v>
      </c>
      <c r="E31" s="1">
        <v>225</v>
      </c>
      <c r="F31" s="1">
        <v>1875</v>
      </c>
      <c r="G31" s="1">
        <v>0</v>
      </c>
    </row>
    <row r="32" spans="1:7" x14ac:dyDescent="0.2">
      <c r="A32" s="1">
        <v>175.75665642223473</v>
      </c>
      <c r="B32" s="1">
        <v>150</v>
      </c>
      <c r="C32" s="1">
        <v>22500</v>
      </c>
      <c r="D32" s="1">
        <v>15</v>
      </c>
      <c r="E32" s="1">
        <v>225</v>
      </c>
      <c r="F32" s="1">
        <v>2250</v>
      </c>
      <c r="G32" s="1">
        <v>0</v>
      </c>
    </row>
    <row r="33" spans="1:7" x14ac:dyDescent="0.2">
      <c r="A33" s="1">
        <v>176.20165452016653</v>
      </c>
      <c r="B33" s="1">
        <v>175</v>
      </c>
      <c r="C33" s="1">
        <v>30625</v>
      </c>
      <c r="D33" s="1">
        <v>15</v>
      </c>
      <c r="E33" s="1">
        <v>225</v>
      </c>
      <c r="F33" s="1">
        <v>2625</v>
      </c>
      <c r="G33" s="1">
        <v>0</v>
      </c>
    </row>
    <row r="34" spans="1:7" x14ac:dyDescent="0.2">
      <c r="A34" s="1">
        <v>121.8270403283467</v>
      </c>
      <c r="B34" s="1">
        <v>0</v>
      </c>
      <c r="C34" s="1">
        <v>0</v>
      </c>
      <c r="D34" s="1">
        <v>9</v>
      </c>
      <c r="E34" s="1">
        <v>81</v>
      </c>
      <c r="F34" s="1">
        <v>0</v>
      </c>
      <c r="G34" s="1">
        <v>0</v>
      </c>
    </row>
    <row r="35" spans="1:7" x14ac:dyDescent="0.2">
      <c r="A35" s="1">
        <v>136.61448094239861</v>
      </c>
      <c r="B35" s="1">
        <v>25</v>
      </c>
      <c r="C35" s="1">
        <v>625</v>
      </c>
      <c r="D35" s="1">
        <v>9</v>
      </c>
      <c r="E35" s="1">
        <v>81</v>
      </c>
      <c r="F35" s="1">
        <v>225</v>
      </c>
      <c r="G35" s="1">
        <v>0</v>
      </c>
    </row>
    <row r="36" spans="1:7" x14ac:dyDescent="0.2">
      <c r="A36" s="1">
        <v>152.2397796973209</v>
      </c>
      <c r="B36" s="1">
        <v>50</v>
      </c>
      <c r="C36" s="1">
        <v>2500</v>
      </c>
      <c r="D36" s="1">
        <v>9</v>
      </c>
      <c r="E36" s="1">
        <v>81</v>
      </c>
      <c r="F36" s="1">
        <v>450</v>
      </c>
      <c r="G36" s="1">
        <v>0</v>
      </c>
    </row>
    <row r="37" spans="1:7" x14ac:dyDescent="0.2">
      <c r="A37" s="1">
        <v>154.85634736543201</v>
      </c>
      <c r="B37" s="1">
        <v>75</v>
      </c>
      <c r="C37" s="1">
        <v>5625</v>
      </c>
      <c r="D37" s="1">
        <v>9</v>
      </c>
      <c r="E37" s="1">
        <v>81</v>
      </c>
      <c r="F37" s="1">
        <v>675</v>
      </c>
      <c r="G37" s="1">
        <v>0</v>
      </c>
    </row>
    <row r="38" spans="1:7" x14ac:dyDescent="0.2">
      <c r="A38" s="1">
        <v>163.6872543140652</v>
      </c>
      <c r="B38" s="1">
        <v>100</v>
      </c>
      <c r="C38" s="1">
        <v>10000</v>
      </c>
      <c r="D38" s="1">
        <v>9</v>
      </c>
      <c r="E38" s="1">
        <v>81</v>
      </c>
      <c r="F38" s="1">
        <v>900</v>
      </c>
      <c r="G38" s="1">
        <v>0</v>
      </c>
    </row>
    <row r="39" spans="1:7" x14ac:dyDescent="0.2">
      <c r="A39" s="1">
        <v>170.54200594797246</v>
      </c>
      <c r="B39" s="1">
        <v>125</v>
      </c>
      <c r="C39" s="1">
        <v>15625</v>
      </c>
      <c r="D39" s="1">
        <v>9</v>
      </c>
      <c r="E39" s="1">
        <v>81</v>
      </c>
      <c r="F39" s="1">
        <v>1125</v>
      </c>
      <c r="G39" s="1">
        <v>0</v>
      </c>
    </row>
    <row r="40" spans="1:7" x14ac:dyDescent="0.2">
      <c r="A40" s="1">
        <v>162.68561686423243</v>
      </c>
      <c r="B40" s="1">
        <v>150</v>
      </c>
      <c r="C40" s="1">
        <v>22500</v>
      </c>
      <c r="D40" s="1">
        <v>9</v>
      </c>
      <c r="E40" s="1">
        <v>81</v>
      </c>
      <c r="F40" s="1">
        <v>1350</v>
      </c>
      <c r="G40" s="1">
        <v>0</v>
      </c>
    </row>
    <row r="41" spans="1:7" x14ac:dyDescent="0.2">
      <c r="A41" s="1">
        <v>157.9689374492614</v>
      </c>
      <c r="B41" s="1">
        <v>175</v>
      </c>
      <c r="C41" s="1">
        <v>30625</v>
      </c>
      <c r="D41" s="1">
        <v>9</v>
      </c>
      <c r="E41" s="1">
        <v>81</v>
      </c>
      <c r="F41" s="1">
        <v>1575</v>
      </c>
      <c r="G41" s="1">
        <v>0</v>
      </c>
    </row>
    <row r="42" spans="1:7" x14ac:dyDescent="0.2">
      <c r="A42" s="1">
        <v>220.91864909563591</v>
      </c>
      <c r="B42" s="1">
        <v>0</v>
      </c>
      <c r="C42" s="1">
        <v>0</v>
      </c>
      <c r="D42" s="1">
        <v>11</v>
      </c>
      <c r="E42" s="1">
        <v>121</v>
      </c>
      <c r="F42" s="1">
        <v>0</v>
      </c>
      <c r="G42" s="1">
        <v>1</v>
      </c>
    </row>
    <row r="43" spans="1:7" x14ac:dyDescent="0.2">
      <c r="A43" s="1">
        <v>218.62768197235206</v>
      </c>
      <c r="B43" s="1">
        <v>25</v>
      </c>
      <c r="C43" s="1">
        <v>625</v>
      </c>
      <c r="D43" s="1">
        <v>11</v>
      </c>
      <c r="E43" s="1">
        <v>121</v>
      </c>
      <c r="F43" s="1">
        <v>275</v>
      </c>
      <c r="G43" s="1">
        <v>1</v>
      </c>
    </row>
    <row r="44" spans="1:7" x14ac:dyDescent="0.2">
      <c r="A44" s="1">
        <v>237.81825914281043</v>
      </c>
      <c r="B44" s="1">
        <v>50</v>
      </c>
      <c r="C44" s="1">
        <v>2500</v>
      </c>
      <c r="D44" s="1">
        <v>11</v>
      </c>
      <c r="E44" s="1">
        <v>121</v>
      </c>
      <c r="F44" s="1">
        <v>550</v>
      </c>
      <c r="G44" s="1">
        <v>1</v>
      </c>
    </row>
    <row r="45" spans="1:7" x14ac:dyDescent="0.2">
      <c r="A45" s="1">
        <v>237.4386946489027</v>
      </c>
      <c r="B45" s="1">
        <v>75</v>
      </c>
      <c r="C45" s="1">
        <v>5625</v>
      </c>
      <c r="D45" s="1">
        <v>11</v>
      </c>
      <c r="E45" s="1">
        <v>121</v>
      </c>
      <c r="F45" s="1">
        <v>825</v>
      </c>
      <c r="G45" s="1">
        <v>1</v>
      </c>
    </row>
    <row r="46" spans="1:7" x14ac:dyDescent="0.2">
      <c r="A46" s="1">
        <v>249.80004820436758</v>
      </c>
      <c r="B46" s="1">
        <v>100</v>
      </c>
      <c r="C46" s="1">
        <v>10000</v>
      </c>
      <c r="D46" s="1">
        <v>11</v>
      </c>
      <c r="E46" s="1">
        <v>121</v>
      </c>
      <c r="F46" s="1">
        <v>1100</v>
      </c>
      <c r="G46" s="1">
        <v>1</v>
      </c>
    </row>
    <row r="47" spans="1:7" x14ac:dyDescent="0.2">
      <c r="A47" s="1">
        <v>263.97853873814967</v>
      </c>
      <c r="B47" s="1">
        <v>125</v>
      </c>
      <c r="C47" s="1">
        <v>15625</v>
      </c>
      <c r="D47" s="1">
        <v>11</v>
      </c>
      <c r="E47" s="1">
        <v>121</v>
      </c>
      <c r="F47" s="1">
        <v>1375</v>
      </c>
      <c r="G47" s="1">
        <v>1</v>
      </c>
    </row>
    <row r="48" spans="1:7" x14ac:dyDescent="0.2">
      <c r="A48" s="1">
        <v>254.28695893010931</v>
      </c>
      <c r="B48" s="1">
        <v>150</v>
      </c>
      <c r="C48" s="1">
        <v>22500</v>
      </c>
      <c r="D48" s="1">
        <v>11</v>
      </c>
      <c r="E48" s="1">
        <v>121</v>
      </c>
      <c r="F48" s="1">
        <v>1650</v>
      </c>
      <c r="G48" s="1">
        <v>1</v>
      </c>
    </row>
    <row r="49" spans="1:7" x14ac:dyDescent="0.2">
      <c r="A49" s="1">
        <v>251.28287902350445</v>
      </c>
      <c r="B49" s="1">
        <v>175</v>
      </c>
      <c r="C49" s="1">
        <v>30625</v>
      </c>
      <c r="D49" s="1">
        <v>11</v>
      </c>
      <c r="E49" s="1">
        <v>121</v>
      </c>
      <c r="F49" s="1">
        <v>1925</v>
      </c>
      <c r="G49" s="1">
        <v>1</v>
      </c>
    </row>
    <row r="50" spans="1:7" x14ac:dyDescent="0.2">
      <c r="A50" s="1">
        <v>215.45460453374434</v>
      </c>
      <c r="B50" s="1">
        <v>0</v>
      </c>
      <c r="C50" s="1">
        <v>0</v>
      </c>
      <c r="D50" s="1">
        <v>13</v>
      </c>
      <c r="E50" s="1">
        <v>169</v>
      </c>
      <c r="F50" s="1">
        <v>0</v>
      </c>
      <c r="G50" s="1">
        <v>1</v>
      </c>
    </row>
    <row r="51" spans="1:7" x14ac:dyDescent="0.2">
      <c r="A51" s="1">
        <v>227.58177554754678</v>
      </c>
      <c r="B51" s="1">
        <v>25</v>
      </c>
      <c r="C51" s="1">
        <v>625</v>
      </c>
      <c r="D51" s="1">
        <v>13</v>
      </c>
      <c r="E51" s="1">
        <v>169</v>
      </c>
      <c r="F51" s="1">
        <v>325</v>
      </c>
      <c r="G51" s="1">
        <v>1</v>
      </c>
    </row>
    <row r="52" spans="1:7" x14ac:dyDescent="0.2">
      <c r="A52" s="1">
        <v>230.43782237984817</v>
      </c>
      <c r="B52" s="1">
        <v>50</v>
      </c>
      <c r="C52" s="1">
        <v>2500</v>
      </c>
      <c r="D52" s="1">
        <v>13</v>
      </c>
      <c r="E52" s="1">
        <v>169</v>
      </c>
      <c r="F52" s="1">
        <v>650</v>
      </c>
      <c r="G52" s="1">
        <v>1</v>
      </c>
    </row>
    <row r="53" spans="1:7" x14ac:dyDescent="0.2">
      <c r="A53" s="1">
        <v>242.82505082358614</v>
      </c>
      <c r="B53" s="1">
        <v>75</v>
      </c>
      <c r="C53" s="1">
        <v>5625</v>
      </c>
      <c r="D53" s="1">
        <v>13</v>
      </c>
      <c r="E53" s="1">
        <v>169</v>
      </c>
      <c r="F53" s="1">
        <v>975</v>
      </c>
      <c r="G53" s="1">
        <v>1</v>
      </c>
    </row>
    <row r="54" spans="1:7" x14ac:dyDescent="0.2">
      <c r="A54" s="1">
        <v>249.52124383203392</v>
      </c>
      <c r="B54" s="1">
        <v>100</v>
      </c>
      <c r="C54" s="1">
        <v>10000</v>
      </c>
      <c r="D54" s="1">
        <v>13</v>
      </c>
      <c r="E54" s="1">
        <v>169</v>
      </c>
      <c r="F54" s="1">
        <v>1300</v>
      </c>
      <c r="G54" s="1">
        <v>1</v>
      </c>
    </row>
    <row r="55" spans="1:7" x14ac:dyDescent="0.2">
      <c r="A55" s="1">
        <v>259.91170652764458</v>
      </c>
      <c r="B55" s="1">
        <v>125</v>
      </c>
      <c r="C55" s="1">
        <v>15625</v>
      </c>
      <c r="D55" s="1">
        <v>13</v>
      </c>
      <c r="E55" s="1">
        <v>169</v>
      </c>
      <c r="F55" s="1">
        <v>1625</v>
      </c>
      <c r="G55" s="1">
        <v>1</v>
      </c>
    </row>
    <row r="56" spans="1:7" x14ac:dyDescent="0.2">
      <c r="A56" s="1">
        <v>260.32247087921519</v>
      </c>
      <c r="B56" s="1">
        <v>150</v>
      </c>
      <c r="C56" s="1">
        <v>22500</v>
      </c>
      <c r="D56" s="1">
        <v>13</v>
      </c>
      <c r="E56" s="1">
        <v>169</v>
      </c>
      <c r="F56" s="1">
        <v>1950</v>
      </c>
      <c r="G56" s="1">
        <v>1</v>
      </c>
    </row>
    <row r="57" spans="1:7" x14ac:dyDescent="0.2">
      <c r="A57" s="1">
        <v>253.4900930284463</v>
      </c>
      <c r="B57" s="1">
        <v>175</v>
      </c>
      <c r="C57" s="1">
        <v>30625</v>
      </c>
      <c r="D57" s="1">
        <v>13</v>
      </c>
      <c r="E57" s="1">
        <v>169</v>
      </c>
      <c r="F57" s="1">
        <v>2275</v>
      </c>
      <c r="G57" s="1">
        <v>1</v>
      </c>
    </row>
    <row r="58" spans="1:7" x14ac:dyDescent="0.2">
      <c r="A58" s="1">
        <v>210.05001960139271</v>
      </c>
      <c r="B58" s="1">
        <v>0</v>
      </c>
      <c r="C58" s="1">
        <v>0</v>
      </c>
      <c r="D58" s="1">
        <v>15</v>
      </c>
      <c r="E58" s="1">
        <v>225</v>
      </c>
      <c r="F58" s="1">
        <v>0</v>
      </c>
      <c r="G58" s="1">
        <v>1</v>
      </c>
    </row>
    <row r="59" spans="1:7" x14ac:dyDescent="0.2">
      <c r="A59" s="1">
        <v>225.47694405807641</v>
      </c>
      <c r="B59" s="1">
        <v>25</v>
      </c>
      <c r="C59" s="1">
        <v>625</v>
      </c>
      <c r="D59" s="1">
        <v>15</v>
      </c>
      <c r="E59" s="1">
        <v>225</v>
      </c>
      <c r="F59" s="1">
        <v>375</v>
      </c>
      <c r="G59" s="1">
        <v>1</v>
      </c>
    </row>
    <row r="60" spans="1:7" x14ac:dyDescent="0.2">
      <c r="A60" s="1">
        <v>232.7535791060578</v>
      </c>
      <c r="B60" s="1">
        <v>50</v>
      </c>
      <c r="C60" s="1">
        <v>2500</v>
      </c>
      <c r="D60" s="1">
        <v>15</v>
      </c>
      <c r="E60" s="1">
        <v>225</v>
      </c>
      <c r="F60" s="1">
        <v>750</v>
      </c>
      <c r="G60" s="1">
        <v>1</v>
      </c>
    </row>
    <row r="61" spans="1:7" x14ac:dyDescent="0.2">
      <c r="A61" s="1">
        <v>247.56796457850947</v>
      </c>
      <c r="B61" s="1">
        <v>75</v>
      </c>
      <c r="C61" s="1">
        <v>5625</v>
      </c>
      <c r="D61" s="1">
        <v>15</v>
      </c>
      <c r="E61" s="1">
        <v>225</v>
      </c>
      <c r="F61" s="1">
        <v>1125</v>
      </c>
      <c r="G61" s="1">
        <v>1</v>
      </c>
    </row>
    <row r="62" spans="1:7" x14ac:dyDescent="0.2">
      <c r="A62" s="1">
        <v>247.89843528470675</v>
      </c>
      <c r="B62" s="1">
        <v>100</v>
      </c>
      <c r="C62" s="1">
        <v>10000</v>
      </c>
      <c r="D62" s="1">
        <v>15</v>
      </c>
      <c r="E62" s="1">
        <v>225</v>
      </c>
      <c r="F62" s="1">
        <v>1500</v>
      </c>
      <c r="G62" s="1">
        <v>1</v>
      </c>
    </row>
    <row r="63" spans="1:7" x14ac:dyDescent="0.2">
      <c r="A63" s="1">
        <v>245.55155996740314</v>
      </c>
      <c r="B63" s="1">
        <v>125</v>
      </c>
      <c r="C63" s="1">
        <v>15625</v>
      </c>
      <c r="D63" s="1">
        <v>15</v>
      </c>
      <c r="E63" s="1">
        <v>225</v>
      </c>
      <c r="F63" s="1">
        <v>1875</v>
      </c>
      <c r="G63" s="1">
        <v>1</v>
      </c>
    </row>
    <row r="64" spans="1:7" x14ac:dyDescent="0.2">
      <c r="A64" s="1">
        <v>262.07450016042816</v>
      </c>
      <c r="B64" s="1">
        <v>150</v>
      </c>
      <c r="C64" s="1">
        <v>22500</v>
      </c>
      <c r="D64" s="1">
        <v>15</v>
      </c>
      <c r="E64" s="1">
        <v>225</v>
      </c>
      <c r="F64" s="1">
        <v>2250</v>
      </c>
      <c r="G64" s="1">
        <v>1</v>
      </c>
    </row>
    <row r="65" spans="1:7" x14ac:dyDescent="0.2">
      <c r="A65" s="1">
        <v>251.54305512323657</v>
      </c>
      <c r="B65" s="1">
        <v>175</v>
      </c>
      <c r="C65" s="1">
        <v>30625</v>
      </c>
      <c r="D65" s="1">
        <v>15</v>
      </c>
      <c r="E65" s="1">
        <v>225</v>
      </c>
      <c r="F65" s="1">
        <v>2625</v>
      </c>
      <c r="G65" s="1">
        <v>1</v>
      </c>
    </row>
    <row r="66" spans="1:7" x14ac:dyDescent="0.2">
      <c r="A66" s="1">
        <v>201.21055688736809</v>
      </c>
      <c r="B66" s="1">
        <v>0</v>
      </c>
      <c r="C66" s="1">
        <v>0</v>
      </c>
      <c r="D66" s="1">
        <v>9</v>
      </c>
      <c r="E66" s="1">
        <v>81</v>
      </c>
      <c r="F66" s="1">
        <v>0</v>
      </c>
      <c r="G66" s="1">
        <v>1</v>
      </c>
    </row>
    <row r="67" spans="1:7" x14ac:dyDescent="0.2">
      <c r="A67" s="1">
        <v>221.05265516489766</v>
      </c>
      <c r="B67" s="1">
        <v>25</v>
      </c>
      <c r="C67" s="1">
        <v>625</v>
      </c>
      <c r="D67" s="1">
        <v>9</v>
      </c>
      <c r="E67" s="1">
        <v>81</v>
      </c>
      <c r="F67" s="1">
        <v>225</v>
      </c>
      <c r="G67" s="1">
        <v>1</v>
      </c>
    </row>
    <row r="68" spans="1:7" x14ac:dyDescent="0.2">
      <c r="A68" s="1">
        <v>230.932728599867</v>
      </c>
      <c r="B68" s="1">
        <v>50</v>
      </c>
      <c r="C68" s="1">
        <v>2500</v>
      </c>
      <c r="D68" s="1">
        <v>9</v>
      </c>
      <c r="E68" s="1">
        <v>81</v>
      </c>
      <c r="F68" s="1">
        <v>450</v>
      </c>
      <c r="G68" s="1">
        <v>1</v>
      </c>
    </row>
    <row r="69" spans="1:7" x14ac:dyDescent="0.2">
      <c r="A69" s="1">
        <v>235.24606144518017</v>
      </c>
      <c r="B69" s="1">
        <v>75</v>
      </c>
      <c r="C69" s="1">
        <v>5625</v>
      </c>
      <c r="D69" s="1">
        <v>9</v>
      </c>
      <c r="E69" s="1">
        <v>81</v>
      </c>
      <c r="F69" s="1">
        <v>675</v>
      </c>
      <c r="G69" s="1">
        <v>1</v>
      </c>
    </row>
    <row r="70" spans="1:7" x14ac:dyDescent="0.2">
      <c r="A70" s="1">
        <v>238.88156002464001</v>
      </c>
      <c r="B70" s="1">
        <v>100</v>
      </c>
      <c r="C70" s="1">
        <v>10000</v>
      </c>
      <c r="D70" s="1">
        <v>9</v>
      </c>
      <c r="E70" s="1">
        <v>81</v>
      </c>
      <c r="F70" s="1">
        <v>900</v>
      </c>
      <c r="G70" s="1">
        <v>1</v>
      </c>
    </row>
    <row r="71" spans="1:7" x14ac:dyDescent="0.2">
      <c r="A71" s="1">
        <v>238.02114705665002</v>
      </c>
      <c r="B71" s="1">
        <v>125</v>
      </c>
      <c r="C71" s="1">
        <v>15625</v>
      </c>
      <c r="D71" s="1">
        <v>9</v>
      </c>
      <c r="E71" s="1">
        <v>81</v>
      </c>
      <c r="F71" s="1">
        <v>1125</v>
      </c>
      <c r="G71" s="1">
        <v>1</v>
      </c>
    </row>
    <row r="72" spans="1:7" x14ac:dyDescent="0.2">
      <c r="A72" s="1">
        <v>248.25996966879453</v>
      </c>
      <c r="B72" s="1">
        <v>150</v>
      </c>
      <c r="C72" s="1">
        <v>22500</v>
      </c>
      <c r="D72" s="1">
        <v>9</v>
      </c>
      <c r="E72" s="1">
        <v>81</v>
      </c>
      <c r="F72" s="1">
        <v>1350</v>
      </c>
      <c r="G72" s="1">
        <v>1</v>
      </c>
    </row>
    <row r="73" spans="1:7" x14ac:dyDescent="0.2">
      <c r="A73" s="1">
        <v>244.52876567022258</v>
      </c>
      <c r="B73" s="1">
        <v>175</v>
      </c>
      <c r="C73" s="1">
        <v>30625</v>
      </c>
      <c r="D73" s="1">
        <v>9</v>
      </c>
      <c r="E73" s="1">
        <v>81</v>
      </c>
      <c r="F73" s="1">
        <v>1575</v>
      </c>
      <c r="G73" s="1">
        <v>1</v>
      </c>
    </row>
    <row r="74" spans="1:7" x14ac:dyDescent="0.2">
      <c r="A74" s="1">
        <v>216.87498355256747</v>
      </c>
      <c r="B74" s="1">
        <v>0</v>
      </c>
      <c r="C74" s="1">
        <v>0</v>
      </c>
      <c r="D74" s="1">
        <v>11</v>
      </c>
      <c r="E74" s="1">
        <v>121</v>
      </c>
      <c r="F74" s="1">
        <v>0</v>
      </c>
      <c r="G74" s="1">
        <v>1</v>
      </c>
    </row>
    <row r="75" spans="1:7" x14ac:dyDescent="0.2">
      <c r="A75" s="1">
        <v>228.86550512215817</v>
      </c>
      <c r="B75" s="1">
        <v>25</v>
      </c>
      <c r="C75" s="1">
        <v>625</v>
      </c>
      <c r="D75" s="1">
        <v>11</v>
      </c>
      <c r="E75" s="1">
        <v>121</v>
      </c>
      <c r="F75" s="1">
        <v>275</v>
      </c>
      <c r="G75" s="1">
        <v>1</v>
      </c>
    </row>
    <row r="76" spans="1:7" x14ac:dyDescent="0.2">
      <c r="A76" s="1">
        <v>240.09057588419356</v>
      </c>
      <c r="B76" s="1">
        <v>50</v>
      </c>
      <c r="C76" s="1">
        <v>2500</v>
      </c>
      <c r="D76" s="1">
        <v>11</v>
      </c>
      <c r="E76" s="1">
        <v>121</v>
      </c>
      <c r="F76" s="1">
        <v>550</v>
      </c>
      <c r="G76" s="1">
        <v>1</v>
      </c>
    </row>
    <row r="77" spans="1:7" x14ac:dyDescent="0.2">
      <c r="A77" s="1">
        <v>243.79222691882322</v>
      </c>
      <c r="B77" s="1">
        <v>75</v>
      </c>
      <c r="C77" s="1">
        <v>5625</v>
      </c>
      <c r="D77" s="1">
        <v>11</v>
      </c>
      <c r="E77" s="1">
        <v>121</v>
      </c>
      <c r="F77" s="1">
        <v>825</v>
      </c>
      <c r="G77" s="1">
        <v>1</v>
      </c>
    </row>
    <row r="78" spans="1:7" x14ac:dyDescent="0.2">
      <c r="A78" s="1">
        <v>247.41425949383159</v>
      </c>
      <c r="B78" s="1">
        <v>100</v>
      </c>
      <c r="C78" s="1">
        <v>10000</v>
      </c>
      <c r="D78" s="1">
        <v>11</v>
      </c>
      <c r="E78" s="1">
        <v>121</v>
      </c>
      <c r="F78" s="1">
        <v>1100</v>
      </c>
      <c r="G78" s="1">
        <v>1</v>
      </c>
    </row>
    <row r="79" spans="1:7" x14ac:dyDescent="0.2">
      <c r="A79" s="1">
        <v>246.69416274340452</v>
      </c>
      <c r="B79" s="1">
        <v>125</v>
      </c>
      <c r="C79" s="1">
        <v>15625</v>
      </c>
      <c r="D79" s="1">
        <v>11</v>
      </c>
      <c r="E79" s="1">
        <v>121</v>
      </c>
      <c r="F79" s="1">
        <v>1375</v>
      </c>
      <c r="G79" s="1">
        <v>1</v>
      </c>
    </row>
    <row r="80" spans="1:7" x14ac:dyDescent="0.2">
      <c r="A80" s="1">
        <v>252.7330162872442</v>
      </c>
      <c r="B80" s="1">
        <v>150</v>
      </c>
      <c r="C80" s="1">
        <v>22500</v>
      </c>
      <c r="D80" s="1">
        <v>11</v>
      </c>
      <c r="E80" s="1">
        <v>121</v>
      </c>
      <c r="F80" s="1">
        <v>1650</v>
      </c>
      <c r="G80" s="1">
        <v>1</v>
      </c>
    </row>
    <row r="81" spans="1:7" x14ac:dyDescent="0.2">
      <c r="A81" s="1">
        <v>259.36717063161672</v>
      </c>
      <c r="B81" s="1">
        <v>175</v>
      </c>
      <c r="C81" s="1">
        <v>30625</v>
      </c>
      <c r="D81" s="1">
        <v>11</v>
      </c>
      <c r="E81" s="1">
        <v>121</v>
      </c>
      <c r="F81" s="1">
        <v>1925</v>
      </c>
      <c r="G81" s="1">
        <v>1</v>
      </c>
    </row>
    <row r="82" spans="1:7" x14ac:dyDescent="0.2">
      <c r="A82" s="1">
        <v>207.69728102602812</v>
      </c>
      <c r="B82" s="1">
        <v>0</v>
      </c>
      <c r="C82" s="1">
        <v>0</v>
      </c>
      <c r="D82" s="1">
        <v>13</v>
      </c>
      <c r="E82" s="1">
        <v>169</v>
      </c>
      <c r="F82" s="1">
        <v>0</v>
      </c>
      <c r="G82" s="1">
        <v>1</v>
      </c>
    </row>
    <row r="83" spans="1:7" x14ac:dyDescent="0.2">
      <c r="A83" s="1">
        <v>222.87847792749673</v>
      </c>
      <c r="B83" s="1">
        <v>25</v>
      </c>
      <c r="C83" s="1">
        <v>625</v>
      </c>
      <c r="D83" s="1">
        <v>13</v>
      </c>
      <c r="E83" s="1">
        <v>169</v>
      </c>
      <c r="F83" s="1">
        <v>325</v>
      </c>
      <c r="G83" s="1">
        <v>1</v>
      </c>
    </row>
    <row r="84" spans="1:7" x14ac:dyDescent="0.2">
      <c r="A84" s="1">
        <v>238.79097648787896</v>
      </c>
      <c r="B84" s="1">
        <v>50</v>
      </c>
      <c r="C84" s="1">
        <v>2500</v>
      </c>
      <c r="D84" s="1">
        <v>13</v>
      </c>
      <c r="E84" s="1">
        <v>169</v>
      </c>
      <c r="F84" s="1">
        <v>650</v>
      </c>
      <c r="G84" s="1">
        <v>1</v>
      </c>
    </row>
    <row r="85" spans="1:7" x14ac:dyDescent="0.2">
      <c r="A85" s="1">
        <v>244.744917791148</v>
      </c>
      <c r="B85" s="1">
        <v>75</v>
      </c>
      <c r="C85" s="1">
        <v>5625</v>
      </c>
      <c r="D85" s="1">
        <v>13</v>
      </c>
      <c r="E85" s="1">
        <v>169</v>
      </c>
      <c r="F85" s="1">
        <v>975</v>
      </c>
      <c r="G85" s="1">
        <v>1</v>
      </c>
    </row>
    <row r="86" spans="1:7" x14ac:dyDescent="0.2">
      <c r="A86" s="1">
        <v>254.97742240840381</v>
      </c>
      <c r="B86" s="1">
        <v>100</v>
      </c>
      <c r="C86" s="1">
        <v>10000</v>
      </c>
      <c r="D86" s="1">
        <v>13</v>
      </c>
      <c r="E86" s="1">
        <v>169</v>
      </c>
      <c r="F86" s="1">
        <v>1300</v>
      </c>
      <c r="G86" s="1">
        <v>1</v>
      </c>
    </row>
    <row r="87" spans="1:7" x14ac:dyDescent="0.2">
      <c r="A87" s="1">
        <v>253.74774627472979</v>
      </c>
      <c r="B87" s="1">
        <v>125</v>
      </c>
      <c r="C87" s="1">
        <v>15625</v>
      </c>
      <c r="D87" s="1">
        <v>13</v>
      </c>
      <c r="E87" s="1">
        <v>169</v>
      </c>
      <c r="F87" s="1">
        <v>1625</v>
      </c>
      <c r="G87" s="1">
        <v>1</v>
      </c>
    </row>
    <row r="88" spans="1:7" x14ac:dyDescent="0.2">
      <c r="A88" s="1">
        <v>262.96928652963305</v>
      </c>
      <c r="B88" s="1">
        <v>150</v>
      </c>
      <c r="C88" s="1">
        <v>22500</v>
      </c>
      <c r="D88" s="1">
        <v>13</v>
      </c>
      <c r="E88" s="1">
        <v>169</v>
      </c>
      <c r="F88" s="1">
        <v>1950</v>
      </c>
      <c r="G88" s="1">
        <v>1</v>
      </c>
    </row>
    <row r="89" spans="1:7" x14ac:dyDescent="0.2">
      <c r="A89" s="1">
        <v>261.35065123515329</v>
      </c>
      <c r="B89" s="1">
        <v>175</v>
      </c>
      <c r="C89" s="1">
        <v>30625</v>
      </c>
      <c r="D89" s="1">
        <v>13</v>
      </c>
      <c r="E89" s="1">
        <v>169</v>
      </c>
      <c r="F89" s="1">
        <v>2275</v>
      </c>
      <c r="G89" s="1">
        <v>1</v>
      </c>
    </row>
    <row r="90" spans="1:7" x14ac:dyDescent="0.2">
      <c r="A90" s="1">
        <v>209.31862677464545</v>
      </c>
      <c r="B90" s="1">
        <v>0</v>
      </c>
      <c r="C90" s="1">
        <v>0</v>
      </c>
      <c r="D90" s="1">
        <v>15</v>
      </c>
      <c r="E90" s="1">
        <v>225</v>
      </c>
      <c r="F90" s="1">
        <v>0</v>
      </c>
      <c r="G90" s="1">
        <v>1</v>
      </c>
    </row>
    <row r="91" spans="1:7" x14ac:dyDescent="0.2">
      <c r="A91" s="1">
        <v>220.61813386584478</v>
      </c>
      <c r="B91" s="1">
        <v>25</v>
      </c>
      <c r="C91" s="1">
        <v>625</v>
      </c>
      <c r="D91" s="1">
        <v>15</v>
      </c>
      <c r="E91" s="1">
        <v>225</v>
      </c>
      <c r="F91" s="1">
        <v>375</v>
      </c>
      <c r="G91" s="1">
        <v>1</v>
      </c>
    </row>
    <row r="92" spans="1:7" x14ac:dyDescent="0.2">
      <c r="A92" s="1">
        <v>231.29860924447974</v>
      </c>
      <c r="B92" s="1">
        <v>50</v>
      </c>
      <c r="C92" s="1">
        <v>2500</v>
      </c>
      <c r="D92" s="1">
        <v>15</v>
      </c>
      <c r="E92" s="1">
        <v>225</v>
      </c>
      <c r="F92" s="1">
        <v>750</v>
      </c>
      <c r="G92" s="1">
        <v>1</v>
      </c>
    </row>
    <row r="93" spans="1:7" x14ac:dyDescent="0.2">
      <c r="A93" s="1">
        <v>254.11960382779537</v>
      </c>
      <c r="B93" s="1">
        <v>75</v>
      </c>
      <c r="C93" s="1">
        <v>5625</v>
      </c>
      <c r="D93" s="1">
        <v>15</v>
      </c>
      <c r="E93" s="1">
        <v>225</v>
      </c>
      <c r="F93" s="1">
        <v>1125</v>
      </c>
      <c r="G93" s="1">
        <v>1</v>
      </c>
    </row>
    <row r="94" spans="1:7" x14ac:dyDescent="0.2">
      <c r="A94" s="1">
        <v>252.18850397969575</v>
      </c>
      <c r="B94" s="1">
        <v>100</v>
      </c>
      <c r="C94" s="1">
        <v>10000</v>
      </c>
      <c r="D94" s="1">
        <v>15</v>
      </c>
      <c r="E94" s="1">
        <v>225</v>
      </c>
      <c r="F94" s="1">
        <v>1500</v>
      </c>
      <c r="G94" s="1">
        <v>1</v>
      </c>
    </row>
    <row r="95" spans="1:7" x14ac:dyDescent="0.2">
      <c r="A95" s="1">
        <v>251.64884849739568</v>
      </c>
      <c r="B95" s="1">
        <v>125</v>
      </c>
      <c r="C95" s="1">
        <v>15625</v>
      </c>
      <c r="D95" s="1">
        <v>15</v>
      </c>
      <c r="E95" s="1">
        <v>225</v>
      </c>
      <c r="F95" s="1">
        <v>1875</v>
      </c>
      <c r="G95" s="1">
        <v>1</v>
      </c>
    </row>
    <row r="96" spans="1:7" x14ac:dyDescent="0.2">
      <c r="A96" s="1">
        <v>258.95297375672544</v>
      </c>
      <c r="B96" s="1">
        <v>150</v>
      </c>
      <c r="C96" s="1">
        <v>22500</v>
      </c>
      <c r="D96" s="1">
        <v>15</v>
      </c>
      <c r="E96" s="1">
        <v>225</v>
      </c>
      <c r="F96" s="1">
        <v>2250</v>
      </c>
      <c r="G96" s="1">
        <v>1</v>
      </c>
    </row>
    <row r="97" spans="1:7" x14ac:dyDescent="0.2">
      <c r="A97" s="1">
        <v>259.89076216987792</v>
      </c>
      <c r="B97" s="1">
        <v>175</v>
      </c>
      <c r="C97" s="1">
        <v>30625</v>
      </c>
      <c r="D97" s="1">
        <v>15</v>
      </c>
      <c r="E97" s="1">
        <v>225</v>
      </c>
      <c r="F97" s="1">
        <v>2625</v>
      </c>
      <c r="G97" s="1">
        <v>1</v>
      </c>
    </row>
    <row r="98" spans="1:7" x14ac:dyDescent="0.2">
      <c r="A98" s="1"/>
      <c r="B98" s="1"/>
      <c r="C98" s="1"/>
      <c r="D98" s="1"/>
    </row>
    <row r="99" spans="1:7" x14ac:dyDescent="0.2">
      <c r="A99" s="1"/>
      <c r="B99" s="1"/>
      <c r="C99" s="1"/>
      <c r="D99" s="1"/>
    </row>
    <row r="100" spans="1:7" x14ac:dyDescent="0.2">
      <c r="A100" s="1"/>
      <c r="B100" s="1"/>
      <c r="C100" s="1"/>
      <c r="D100" s="1"/>
    </row>
    <row r="101" spans="1:7" x14ac:dyDescent="0.2">
      <c r="A101" s="2"/>
      <c r="B101" s="2"/>
      <c r="C101" s="2"/>
      <c r="D101" s="2"/>
      <c r="E101" s="2"/>
      <c r="F101" s="2"/>
      <c r="G101" s="2"/>
    </row>
    <row r="102" spans="1:7" x14ac:dyDescent="0.2">
      <c r="A102" s="2"/>
      <c r="B102" s="2"/>
      <c r="C102" s="2"/>
      <c r="D102" s="2"/>
      <c r="E102" s="2"/>
      <c r="F102" s="2"/>
      <c r="G10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B7ED-53A2-254C-8CF5-4A2D09804420}">
  <dimension ref="A1:I23"/>
  <sheetViews>
    <sheetView zoomScale="180" zoomScaleNormal="180" workbookViewId="0">
      <selection activeCell="C28" sqref="C28"/>
    </sheetView>
  </sheetViews>
  <sheetFormatPr baseColWidth="10" defaultRowHeight="15" x14ac:dyDescent="0.2"/>
  <sheetData>
    <row r="1" spans="1:9" x14ac:dyDescent="0.2">
      <c r="A1" t="s">
        <v>7</v>
      </c>
    </row>
    <row r="2" spans="1:9" ht="16" thickBot="1" x14ac:dyDescent="0.25"/>
    <row r="3" spans="1:9" x14ac:dyDescent="0.2">
      <c r="A3" s="6" t="s">
        <v>8</v>
      </c>
      <c r="B3" s="6"/>
    </row>
    <row r="4" spans="1:9" x14ac:dyDescent="0.2">
      <c r="A4" s="3" t="s">
        <v>9</v>
      </c>
      <c r="B4" s="3">
        <v>0.99526617419417973</v>
      </c>
    </row>
    <row r="5" spans="1:9" x14ac:dyDescent="0.2">
      <c r="A5" s="3" t="s">
        <v>10</v>
      </c>
      <c r="B5" s="3">
        <v>0.99055475749511923</v>
      </c>
    </row>
    <row r="6" spans="1:9" x14ac:dyDescent="0.2">
      <c r="A6" s="3" t="s">
        <v>11</v>
      </c>
      <c r="B6" s="3">
        <v>0.98991799957344184</v>
      </c>
    </row>
    <row r="7" spans="1:9" x14ac:dyDescent="0.2">
      <c r="A7" s="3" t="s">
        <v>12</v>
      </c>
      <c r="B7" s="3">
        <v>4.553747804848892</v>
      </c>
    </row>
    <row r="8" spans="1:9" ht="16" thickBot="1" x14ac:dyDescent="0.25">
      <c r="A8" s="4" t="s">
        <v>13</v>
      </c>
      <c r="B8" s="4">
        <v>96</v>
      </c>
    </row>
    <row r="10" spans="1:9" ht="16" thickBot="1" x14ac:dyDescent="0.25">
      <c r="A10" t="s">
        <v>14</v>
      </c>
    </row>
    <row r="11" spans="1:9" x14ac:dyDescent="0.2">
      <c r="A11" s="5"/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</row>
    <row r="12" spans="1:9" x14ac:dyDescent="0.2">
      <c r="A12" s="3" t="s">
        <v>15</v>
      </c>
      <c r="B12" s="3">
        <v>6</v>
      </c>
      <c r="C12" s="3">
        <v>193550.06957942605</v>
      </c>
      <c r="D12" s="3">
        <v>32258.344929904342</v>
      </c>
      <c r="E12" s="3">
        <v>1555.6221976568308</v>
      </c>
      <c r="F12" s="3">
        <v>8.1913763175671957E-88</v>
      </c>
    </row>
    <row r="13" spans="1:9" x14ac:dyDescent="0.2">
      <c r="A13" s="3" t="s">
        <v>16</v>
      </c>
      <c r="B13" s="3">
        <v>89</v>
      </c>
      <c r="C13" s="3">
        <v>1845.5590972447833</v>
      </c>
      <c r="D13" s="3">
        <v>20.736619070166103</v>
      </c>
      <c r="E13" s="3"/>
      <c r="F13" s="3"/>
    </row>
    <row r="14" spans="1:9" ht="16" thickBot="1" x14ac:dyDescent="0.25">
      <c r="A14" s="4" t="s">
        <v>17</v>
      </c>
      <c r="B14" s="4">
        <v>95</v>
      </c>
      <c r="C14" s="4">
        <v>195395.62867667084</v>
      </c>
      <c r="D14" s="4"/>
      <c r="E14" s="4"/>
      <c r="F14" s="4"/>
    </row>
    <row r="15" spans="1:9" ht="16" thickBot="1" x14ac:dyDescent="0.25"/>
    <row r="16" spans="1:9" x14ac:dyDescent="0.2">
      <c r="A16" s="5"/>
      <c r="B16" s="5" t="s">
        <v>24</v>
      </c>
      <c r="C16" s="5" t="s">
        <v>12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</row>
    <row r="17" spans="1:9" x14ac:dyDescent="0.2">
      <c r="A17" s="3" t="s">
        <v>18</v>
      </c>
      <c r="B17" s="3">
        <v>57.333704714824094</v>
      </c>
      <c r="C17" s="3">
        <v>17.058608301959627</v>
      </c>
      <c r="D17" s="3">
        <v>3.3609837156667592</v>
      </c>
      <c r="E17" s="3">
        <v>1.1457978204829956E-3</v>
      </c>
      <c r="F17" s="3">
        <v>23.438613375609236</v>
      </c>
      <c r="G17" s="3">
        <v>91.228796054038952</v>
      </c>
      <c r="H17" s="3">
        <v>23.438613375609236</v>
      </c>
      <c r="I17" s="3">
        <v>91.228796054038952</v>
      </c>
    </row>
    <row r="18" spans="1:9" x14ac:dyDescent="0.2">
      <c r="A18" s="3" t="s">
        <v>2</v>
      </c>
      <c r="B18" s="3">
        <v>0.41293749198615765</v>
      </c>
      <c r="C18" s="3">
        <v>5.2613440008474524E-2</v>
      </c>
      <c r="D18" s="3">
        <v>7.84851725946156</v>
      </c>
      <c r="E18" s="3">
        <v>8.8765837829341216E-12</v>
      </c>
      <c r="F18" s="3">
        <v>0.30839570738156696</v>
      </c>
      <c r="G18" s="3">
        <v>0.51747927659074833</v>
      </c>
      <c r="H18" s="3">
        <v>0.30839570738156696</v>
      </c>
      <c r="I18" s="3">
        <v>0.51747927659074833</v>
      </c>
    </row>
    <row r="19" spans="1:9" x14ac:dyDescent="0.2">
      <c r="A19" s="3" t="s">
        <v>1</v>
      </c>
      <c r="B19" s="3">
        <v>-2.0140649750419268E-3</v>
      </c>
      <c r="C19" s="3">
        <v>1.6227203915731878E-4</v>
      </c>
      <c r="D19" s="3">
        <v>-12.411657519687296</v>
      </c>
      <c r="E19" s="3">
        <v>4.0437741667550355E-21</v>
      </c>
      <c r="F19" s="3">
        <v>-2.3364960603729692E-3</v>
      </c>
      <c r="G19" s="3">
        <v>-1.6916338897108845E-3</v>
      </c>
      <c r="H19" s="3">
        <v>-2.3364960603729692E-3</v>
      </c>
      <c r="I19" s="3">
        <v>-1.6916338897108845E-3</v>
      </c>
    </row>
    <row r="20" spans="1:9" x14ac:dyDescent="0.2">
      <c r="A20" s="3" t="s">
        <v>3</v>
      </c>
      <c r="B20" s="3">
        <v>12.100482237978131</v>
      </c>
      <c r="C20" s="3">
        <v>2.8657370606559729</v>
      </c>
      <c r="D20" s="3">
        <v>4.222467721867095</v>
      </c>
      <c r="E20" s="3">
        <v>5.8169713625790417E-5</v>
      </c>
      <c r="F20" s="3">
        <v>6.4063237400689621</v>
      </c>
      <c r="G20" s="3">
        <v>17.794640735887299</v>
      </c>
      <c r="H20" s="3">
        <v>6.4063237400689621</v>
      </c>
      <c r="I20" s="3">
        <v>17.794640735887299</v>
      </c>
    </row>
    <row r="21" spans="1:9" x14ac:dyDescent="0.2">
      <c r="A21" s="3" t="s">
        <v>4</v>
      </c>
      <c r="B21" s="3">
        <v>-0.51143120599189118</v>
      </c>
      <c r="C21" s="3">
        <v>0.11798165202963848</v>
      </c>
      <c r="D21" s="3">
        <v>-4.3348367919395905</v>
      </c>
      <c r="E21" s="3">
        <v>3.8286302594318443E-5</v>
      </c>
      <c r="F21" s="3">
        <v>-0.74585823550734531</v>
      </c>
      <c r="G21" s="3">
        <v>-0.27700417647643705</v>
      </c>
      <c r="H21" s="3">
        <v>-0.74585823550734531</v>
      </c>
      <c r="I21" s="3">
        <v>-0.27700417647643705</v>
      </c>
    </row>
    <row r="22" spans="1:9" x14ac:dyDescent="0.2">
      <c r="A22" s="3" t="s">
        <v>5</v>
      </c>
      <c r="B22" s="3">
        <v>1.4948742408882046E-2</v>
      </c>
      <c r="C22" s="3">
        <v>3.6285131040327263E-3</v>
      </c>
      <c r="D22" s="3">
        <v>4.1197983802974356</v>
      </c>
      <c r="E22" s="3">
        <v>8.4771066108548694E-5</v>
      </c>
      <c r="F22" s="3">
        <v>7.7389641602895855E-3</v>
      </c>
      <c r="G22" s="3">
        <v>2.2158520657474506E-2</v>
      </c>
      <c r="H22" s="3">
        <v>7.7389641602895855E-3</v>
      </c>
      <c r="I22" s="3">
        <v>2.2158520657474506E-2</v>
      </c>
    </row>
    <row r="23" spans="1:9" ht="16" thickBot="1" x14ac:dyDescent="0.25">
      <c r="A23" s="4" t="s">
        <v>6</v>
      </c>
      <c r="B23" s="4">
        <v>83.724836305521322</v>
      </c>
      <c r="C23" s="4">
        <v>0.98284870228921228</v>
      </c>
      <c r="D23" s="4">
        <v>85.185884776072598</v>
      </c>
      <c r="E23" s="4">
        <v>4.3467355819543949E-87</v>
      </c>
      <c r="F23" s="4">
        <v>81.771936869235262</v>
      </c>
      <c r="G23" s="4">
        <v>85.677735741807382</v>
      </c>
      <c r="H23" s="4">
        <v>81.771936869235262</v>
      </c>
      <c r="I23" s="4">
        <v>85.677735741807382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F535-0F4C-0447-B5F0-468F864DF2E9}">
  <dimension ref="A1:H18"/>
  <sheetViews>
    <sheetView zoomScale="140" zoomScaleNormal="140" workbookViewId="0">
      <selection activeCell="A16" sqref="A16"/>
    </sheetView>
  </sheetViews>
  <sheetFormatPr baseColWidth="10" defaultRowHeight="15" x14ac:dyDescent="0.2"/>
  <sheetData>
    <row r="1" spans="1:8" x14ac:dyDescent="0.2">
      <c r="E1" s="3" t="s">
        <v>18</v>
      </c>
      <c r="F1" s="3">
        <v>57.333704714824094</v>
      </c>
    </row>
    <row r="2" spans="1:8" x14ac:dyDescent="0.2">
      <c r="A2" s="7" t="s">
        <v>32</v>
      </c>
      <c r="B2" s="7">
        <v>45.572292813763674</v>
      </c>
      <c r="C2" s="7" t="s">
        <v>46</v>
      </c>
      <c r="E2" s="3" t="s">
        <v>2</v>
      </c>
      <c r="F2" s="3">
        <v>0.41293749198615765</v>
      </c>
    </row>
    <row r="3" spans="1:8" x14ac:dyDescent="0.2">
      <c r="A3" s="7" t="s">
        <v>33</v>
      </c>
      <c r="B3" s="7">
        <v>12.201596214239466</v>
      </c>
      <c r="C3" s="7" t="s">
        <v>47</v>
      </c>
      <c r="E3" s="3" t="s">
        <v>1</v>
      </c>
      <c r="F3" s="3">
        <v>-2.0140649750419268E-3</v>
      </c>
      <c r="H3" t="s">
        <v>50</v>
      </c>
    </row>
    <row r="4" spans="1:8" x14ac:dyDescent="0.2">
      <c r="A4" s="7" t="s">
        <v>6</v>
      </c>
      <c r="B4" s="7">
        <v>1</v>
      </c>
      <c r="C4" s="7"/>
      <c r="E4" s="3" t="s">
        <v>3</v>
      </c>
      <c r="F4" s="3">
        <v>12.100482237978131</v>
      </c>
    </row>
    <row r="5" spans="1:8" x14ac:dyDescent="0.2">
      <c r="E5" s="3" t="s">
        <v>4</v>
      </c>
      <c r="F5" s="3">
        <v>-0.51143120599189118</v>
      </c>
    </row>
    <row r="6" spans="1:8" x14ac:dyDescent="0.2">
      <c r="E6" s="3" t="s">
        <v>5</v>
      </c>
      <c r="F6" s="3">
        <v>1.4948742408882046E-2</v>
      </c>
    </row>
    <row r="7" spans="1:8" ht="16" thickBot="1" x14ac:dyDescent="0.25">
      <c r="A7" s="11" t="s">
        <v>36</v>
      </c>
      <c r="B7" s="12"/>
      <c r="C7" s="13"/>
      <c r="E7" s="4" t="s">
        <v>6</v>
      </c>
      <c r="F7" s="4">
        <v>83.724836305521322</v>
      </c>
    </row>
    <row r="8" spans="1:8" x14ac:dyDescent="0.2">
      <c r="A8" s="15" t="s">
        <v>38</v>
      </c>
      <c r="B8" s="8"/>
      <c r="C8" s="8"/>
    </row>
    <row r="9" spans="1:8" x14ac:dyDescent="0.2">
      <c r="A9" s="14" t="s">
        <v>2</v>
      </c>
      <c r="B9" s="8">
        <f>F12*B2</f>
        <v>159.50302484817286</v>
      </c>
      <c r="C9" s="8" t="s">
        <v>48</v>
      </c>
    </row>
    <row r="10" spans="1:8" x14ac:dyDescent="0.2">
      <c r="A10" s="14" t="s">
        <v>34</v>
      </c>
      <c r="B10" s="8">
        <f>F13*B3</f>
        <v>31.236086308453032</v>
      </c>
      <c r="C10" s="8" t="s">
        <v>48</v>
      </c>
      <c r="E10" s="22" t="s">
        <v>41</v>
      </c>
      <c r="F10" s="23"/>
      <c r="G10" s="24"/>
    </row>
    <row r="11" spans="1:8" x14ac:dyDescent="0.2">
      <c r="A11" s="15" t="s">
        <v>35</v>
      </c>
      <c r="B11" s="8">
        <v>0</v>
      </c>
      <c r="C11" s="8" t="s">
        <v>48</v>
      </c>
      <c r="E11" s="25" t="s">
        <v>42</v>
      </c>
      <c r="F11" s="10"/>
      <c r="G11" s="10"/>
    </row>
    <row r="12" spans="1:8" ht="16" x14ac:dyDescent="0.2">
      <c r="A12" s="16" t="s">
        <v>39</v>
      </c>
      <c r="B12" s="16">
        <f>SUM(B9:B11)</f>
        <v>190.73911115662588</v>
      </c>
      <c r="C12" s="8"/>
      <c r="E12" s="26" t="s">
        <v>2</v>
      </c>
      <c r="F12" s="10">
        <v>3.5</v>
      </c>
      <c r="G12" s="10" t="s">
        <v>45</v>
      </c>
    </row>
    <row r="13" spans="1:8" x14ac:dyDescent="0.2">
      <c r="E13" s="26" t="s">
        <v>34</v>
      </c>
      <c r="F13" s="10">
        <v>2.56</v>
      </c>
      <c r="G13" s="10" t="s">
        <v>44</v>
      </c>
    </row>
    <row r="14" spans="1:8" x14ac:dyDescent="0.2">
      <c r="A14" s="17" t="s">
        <v>37</v>
      </c>
      <c r="B14" s="18"/>
      <c r="C14" s="19"/>
      <c r="E14" s="10"/>
      <c r="F14" s="10"/>
      <c r="G14" s="10"/>
    </row>
    <row r="15" spans="1:8" x14ac:dyDescent="0.2">
      <c r="A15" s="9" t="s">
        <v>56</v>
      </c>
      <c r="B15" s="9">
        <f>F1+(F2*B2)+(F3*B2^2)+(F4*B3)+(F5*B3^2)+(F6*B2*B3)+F7*B4</f>
        <v>235.51034689495106</v>
      </c>
      <c r="C15" s="9" t="s">
        <v>49</v>
      </c>
      <c r="E15" s="25" t="s">
        <v>57</v>
      </c>
      <c r="F15" s="10">
        <v>8.5</v>
      </c>
      <c r="G15" s="10" t="s">
        <v>43</v>
      </c>
    </row>
    <row r="16" spans="1:8" ht="16" x14ac:dyDescent="0.2">
      <c r="A16" s="20" t="s">
        <v>40</v>
      </c>
      <c r="B16" s="20">
        <f>B15*F15</f>
        <v>2001.8379486070839</v>
      </c>
      <c r="C16" s="9" t="s">
        <v>48</v>
      </c>
    </row>
    <row r="18" spans="1:3" x14ac:dyDescent="0.2">
      <c r="A18" s="21" t="s">
        <v>31</v>
      </c>
      <c r="B18" s="21">
        <f>B16-B12</f>
        <v>1811.0988374504582</v>
      </c>
      <c r="C18" s="21" t="s">
        <v>48</v>
      </c>
    </row>
  </sheetData>
  <mergeCells count="3">
    <mergeCell ref="A7:C7"/>
    <mergeCell ref="A14:C14"/>
    <mergeCell ref="E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9CB4-CBF9-E14A-B4FF-0421DB38AF55}">
  <dimension ref="A2:D215"/>
  <sheetViews>
    <sheetView zoomScale="140" zoomScaleNormal="140" workbookViewId="0">
      <selection activeCell="B14" sqref="B14"/>
    </sheetView>
  </sheetViews>
  <sheetFormatPr baseColWidth="10" defaultRowHeight="15" x14ac:dyDescent="0.2"/>
  <sheetData>
    <row r="2" spans="1:4" ht="16" thickBot="1" x14ac:dyDescent="0.25"/>
    <row r="3" spans="1:4" x14ac:dyDescent="0.2">
      <c r="A3" s="5"/>
      <c r="B3" s="5" t="s">
        <v>24</v>
      </c>
    </row>
    <row r="4" spans="1:4" x14ac:dyDescent="0.2">
      <c r="A4" s="3" t="s">
        <v>18</v>
      </c>
      <c r="B4" s="3">
        <v>57.333704714824094</v>
      </c>
    </row>
    <row r="5" spans="1:4" x14ac:dyDescent="0.2">
      <c r="A5" s="3" t="s">
        <v>2</v>
      </c>
      <c r="B5" s="3">
        <v>0.41293749198615765</v>
      </c>
    </row>
    <row r="6" spans="1:4" x14ac:dyDescent="0.2">
      <c r="A6" s="3" t="s">
        <v>1</v>
      </c>
      <c r="B6" s="3">
        <v>-2.0140649750419268E-3</v>
      </c>
    </row>
    <row r="7" spans="1:4" x14ac:dyDescent="0.2">
      <c r="A7" s="3" t="s">
        <v>3</v>
      </c>
      <c r="B7" s="3">
        <v>12.100482237978131</v>
      </c>
    </row>
    <row r="8" spans="1:4" x14ac:dyDescent="0.2">
      <c r="A8" s="3" t="s">
        <v>4</v>
      </c>
      <c r="B8" s="3">
        <v>-0.51143120599189118</v>
      </c>
    </row>
    <row r="9" spans="1:4" x14ac:dyDescent="0.2">
      <c r="A9" s="3" t="s">
        <v>5</v>
      </c>
      <c r="B9" s="3">
        <v>1.4948742408882046E-2</v>
      </c>
    </row>
    <row r="10" spans="1:4" ht="16" thickBot="1" x14ac:dyDescent="0.25">
      <c r="A10" s="4" t="s">
        <v>6</v>
      </c>
      <c r="B10" s="4">
        <v>83.724836305521322</v>
      </c>
    </row>
    <row r="12" spans="1:4" x14ac:dyDescent="0.2">
      <c r="A12" t="s">
        <v>55</v>
      </c>
      <c r="B12">
        <v>1</v>
      </c>
    </row>
    <row r="13" spans="1:4" x14ac:dyDescent="0.2">
      <c r="A13" t="s">
        <v>51</v>
      </c>
      <c r="B13">
        <v>20</v>
      </c>
    </row>
    <row r="15" spans="1:4" x14ac:dyDescent="0.2">
      <c r="A15" t="s">
        <v>2</v>
      </c>
      <c r="B15" t="s">
        <v>52</v>
      </c>
      <c r="C15" t="s">
        <v>53</v>
      </c>
      <c r="D15" t="s">
        <v>54</v>
      </c>
    </row>
    <row r="16" spans="1:4" x14ac:dyDescent="0.2">
      <c r="A16">
        <v>1</v>
      </c>
      <c r="B16" s="27">
        <f>$B$4+($B$5*A16)+($B$6*A16^2)+($B$7*$B$13)+($B$8*$B$13)+($B$9*$B$13*A16)+($B$10*$B$12)</f>
        <v>373.54945993525894</v>
      </c>
      <c r="C16" s="27">
        <f>$B$5+(2*$B$6*A16)+($B$9*$B$13)</f>
        <v>0.70788421021371473</v>
      </c>
      <c r="D16" s="27">
        <f>B16/A16</f>
        <v>373.54945993525894</v>
      </c>
    </row>
    <row r="17" spans="1:4" x14ac:dyDescent="0.2">
      <c r="A17">
        <v>2</v>
      </c>
      <c r="B17" s="27">
        <f t="shared" ref="B17:B80" si="0">$B$4+($B$5*A17)+($B$6*A17^2)+($B$7*$B$13)+($B$8*$B$13)+($B$9*$B$13*A17)+($B$10*$B$12)</f>
        <v>374.25533008049757</v>
      </c>
      <c r="C17" s="27">
        <f t="shared" ref="C17:C80" si="1">$B$5+(2*$B$6*A17)+($B$9*$B$13)</f>
        <v>0.70385608026363089</v>
      </c>
      <c r="D17" s="27">
        <f t="shared" ref="D17:D80" si="2">B17/A17</f>
        <v>187.12766504024879</v>
      </c>
    </row>
    <row r="18" spans="1:4" x14ac:dyDescent="0.2">
      <c r="A18">
        <v>3</v>
      </c>
      <c r="B18" s="27">
        <f t="shared" si="0"/>
        <v>374.95717209578618</v>
      </c>
      <c r="C18" s="27">
        <f t="shared" si="1"/>
        <v>0.69982795031354694</v>
      </c>
      <c r="D18" s="27">
        <f t="shared" si="2"/>
        <v>124.98572403192873</v>
      </c>
    </row>
    <row r="19" spans="1:4" x14ac:dyDescent="0.2">
      <c r="A19">
        <v>4</v>
      </c>
      <c r="B19" s="27">
        <f t="shared" si="0"/>
        <v>375.6549859811247</v>
      </c>
      <c r="C19" s="27">
        <f t="shared" si="1"/>
        <v>0.69579982036346322</v>
      </c>
      <c r="D19" s="27">
        <f t="shared" si="2"/>
        <v>93.913746495281174</v>
      </c>
    </row>
    <row r="20" spans="1:4" x14ac:dyDescent="0.2">
      <c r="A20">
        <v>5</v>
      </c>
      <c r="B20" s="27">
        <f t="shared" si="0"/>
        <v>376.34877173651307</v>
      </c>
      <c r="C20" s="27">
        <f t="shared" si="1"/>
        <v>0.69177169041337927</v>
      </c>
      <c r="D20" s="27">
        <f t="shared" si="2"/>
        <v>75.269754347302609</v>
      </c>
    </row>
    <row r="21" spans="1:4" x14ac:dyDescent="0.2">
      <c r="A21">
        <v>6</v>
      </c>
      <c r="B21" s="27">
        <f t="shared" si="0"/>
        <v>377.03852936195148</v>
      </c>
      <c r="C21" s="27">
        <f t="shared" si="1"/>
        <v>0.68774356046329543</v>
      </c>
      <c r="D21" s="27">
        <f t="shared" si="2"/>
        <v>62.839754893658579</v>
      </c>
    </row>
    <row r="22" spans="1:4" x14ac:dyDescent="0.2">
      <c r="A22">
        <v>7</v>
      </c>
      <c r="B22" s="27">
        <f t="shared" si="0"/>
        <v>377.72425885743974</v>
      </c>
      <c r="C22" s="27">
        <f t="shared" si="1"/>
        <v>0.6837154305132116</v>
      </c>
      <c r="D22" s="27">
        <f t="shared" si="2"/>
        <v>53.96060840820568</v>
      </c>
    </row>
    <row r="23" spans="1:4" x14ac:dyDescent="0.2">
      <c r="A23">
        <v>8</v>
      </c>
      <c r="B23" s="27">
        <f t="shared" si="0"/>
        <v>378.40596022297791</v>
      </c>
      <c r="C23" s="27">
        <f t="shared" si="1"/>
        <v>0.67968730056312765</v>
      </c>
      <c r="D23" s="27">
        <f t="shared" si="2"/>
        <v>47.300745027872239</v>
      </c>
    </row>
    <row r="24" spans="1:4" x14ac:dyDescent="0.2">
      <c r="A24">
        <v>9</v>
      </c>
      <c r="B24" s="27">
        <f t="shared" si="0"/>
        <v>379.083633458566</v>
      </c>
      <c r="C24" s="27">
        <f t="shared" si="1"/>
        <v>0.67565917061304392</v>
      </c>
      <c r="D24" s="27">
        <f t="shared" si="2"/>
        <v>42.120403717618444</v>
      </c>
    </row>
    <row r="25" spans="1:4" x14ac:dyDescent="0.2">
      <c r="A25">
        <v>10</v>
      </c>
      <c r="B25" s="27">
        <f t="shared" si="0"/>
        <v>379.757278564204</v>
      </c>
      <c r="C25" s="27">
        <f t="shared" si="1"/>
        <v>0.67163104066295998</v>
      </c>
      <c r="D25" s="27">
        <f t="shared" si="2"/>
        <v>37.975727856420399</v>
      </c>
    </row>
    <row r="26" spans="1:4" x14ac:dyDescent="0.2">
      <c r="A26">
        <v>11</v>
      </c>
      <c r="B26" s="27">
        <f t="shared" si="0"/>
        <v>380.42689553989186</v>
      </c>
      <c r="C26" s="27">
        <f t="shared" si="1"/>
        <v>0.66760291071287625</v>
      </c>
      <c r="D26" s="27">
        <f t="shared" si="2"/>
        <v>34.584263230899261</v>
      </c>
    </row>
    <row r="27" spans="1:4" x14ac:dyDescent="0.2">
      <c r="A27">
        <v>12</v>
      </c>
      <c r="B27" s="27">
        <f t="shared" si="0"/>
        <v>381.09248438562969</v>
      </c>
      <c r="C27" s="27">
        <f t="shared" si="1"/>
        <v>0.6635747807627923</v>
      </c>
      <c r="D27" s="27">
        <f t="shared" si="2"/>
        <v>31.757707032135809</v>
      </c>
    </row>
    <row r="28" spans="1:4" x14ac:dyDescent="0.2">
      <c r="A28">
        <v>13</v>
      </c>
      <c r="B28" s="27">
        <f t="shared" si="0"/>
        <v>381.75404510141749</v>
      </c>
      <c r="C28" s="27">
        <f t="shared" si="1"/>
        <v>0.65954665081270847</v>
      </c>
      <c r="D28" s="27">
        <f t="shared" si="2"/>
        <v>29.365695777032116</v>
      </c>
    </row>
    <row r="29" spans="1:4" x14ac:dyDescent="0.2">
      <c r="A29">
        <v>14</v>
      </c>
      <c r="B29" s="27">
        <f t="shared" si="0"/>
        <v>382.41157768725515</v>
      </c>
      <c r="C29" s="27">
        <f t="shared" si="1"/>
        <v>0.65551852086262463</v>
      </c>
      <c r="D29" s="27">
        <f t="shared" si="2"/>
        <v>27.315112691946798</v>
      </c>
    </row>
    <row r="30" spans="1:4" x14ac:dyDescent="0.2">
      <c r="A30">
        <v>15</v>
      </c>
      <c r="B30" s="27">
        <f t="shared" si="0"/>
        <v>383.06508214314272</v>
      </c>
      <c r="C30" s="27">
        <f t="shared" si="1"/>
        <v>0.65149039091254068</v>
      </c>
      <c r="D30" s="27">
        <f t="shared" si="2"/>
        <v>25.537672142876183</v>
      </c>
    </row>
    <row r="31" spans="1:4" x14ac:dyDescent="0.2">
      <c r="A31">
        <v>16</v>
      </c>
      <c r="B31" s="27">
        <f t="shared" si="0"/>
        <v>383.7145584690802</v>
      </c>
      <c r="C31" s="27">
        <f t="shared" si="1"/>
        <v>0.64746226096245696</v>
      </c>
      <c r="D31" s="27">
        <f t="shared" si="2"/>
        <v>23.982159904317513</v>
      </c>
    </row>
    <row r="32" spans="1:4" x14ac:dyDescent="0.2">
      <c r="A32">
        <v>17</v>
      </c>
      <c r="B32" s="27">
        <f t="shared" si="0"/>
        <v>384.3600066650676</v>
      </c>
      <c r="C32" s="27">
        <f t="shared" si="1"/>
        <v>0.64343413101237301</v>
      </c>
      <c r="D32" s="27">
        <f t="shared" si="2"/>
        <v>22.609412156768684</v>
      </c>
    </row>
    <row r="33" spans="1:4" x14ac:dyDescent="0.2">
      <c r="A33">
        <v>18</v>
      </c>
      <c r="B33" s="27">
        <f t="shared" si="0"/>
        <v>385.00142673110497</v>
      </c>
      <c r="C33" s="27">
        <f t="shared" si="1"/>
        <v>0.63940600106228929</v>
      </c>
      <c r="D33" s="27">
        <f t="shared" si="2"/>
        <v>21.388968151728054</v>
      </c>
    </row>
    <row r="34" spans="1:4" x14ac:dyDescent="0.2">
      <c r="A34">
        <v>19</v>
      </c>
      <c r="B34" s="27">
        <f t="shared" si="0"/>
        <v>385.63881866719225</v>
      </c>
      <c r="C34" s="27">
        <f t="shared" si="1"/>
        <v>0.63537787111220534</v>
      </c>
      <c r="D34" s="27">
        <f t="shared" si="2"/>
        <v>20.296779929852224</v>
      </c>
    </row>
    <row r="35" spans="1:4" x14ac:dyDescent="0.2">
      <c r="A35">
        <v>20</v>
      </c>
      <c r="B35" s="27">
        <f t="shared" si="0"/>
        <v>386.27218247332939</v>
      </c>
      <c r="C35" s="27">
        <f t="shared" si="1"/>
        <v>0.6313497411621215</v>
      </c>
      <c r="D35" s="27">
        <f t="shared" si="2"/>
        <v>19.31360912366647</v>
      </c>
    </row>
    <row r="36" spans="1:4" x14ac:dyDescent="0.2">
      <c r="A36">
        <v>21</v>
      </c>
      <c r="B36" s="27">
        <f t="shared" si="0"/>
        <v>386.90151814951645</v>
      </c>
      <c r="C36" s="27">
        <f t="shared" si="1"/>
        <v>0.62732161121203767</v>
      </c>
      <c r="D36" s="27">
        <f t="shared" si="2"/>
        <v>18.42388181664364</v>
      </c>
    </row>
    <row r="37" spans="1:4" x14ac:dyDescent="0.2">
      <c r="A37">
        <v>22</v>
      </c>
      <c r="B37" s="27">
        <f t="shared" si="0"/>
        <v>387.52682569575347</v>
      </c>
      <c r="C37" s="27">
        <f t="shared" si="1"/>
        <v>0.62329348126195372</v>
      </c>
      <c r="D37" s="27">
        <f t="shared" si="2"/>
        <v>17.61485571344334</v>
      </c>
    </row>
    <row r="38" spans="1:4" x14ac:dyDescent="0.2">
      <c r="A38">
        <v>23</v>
      </c>
      <c r="B38" s="27">
        <f t="shared" si="0"/>
        <v>388.14810511204035</v>
      </c>
      <c r="C38" s="27">
        <f t="shared" si="1"/>
        <v>0.61926535131186999</v>
      </c>
      <c r="D38" s="27">
        <f t="shared" si="2"/>
        <v>16.87600457008871</v>
      </c>
    </row>
    <row r="39" spans="1:4" x14ac:dyDescent="0.2">
      <c r="A39">
        <v>24</v>
      </c>
      <c r="B39" s="27">
        <f t="shared" si="0"/>
        <v>388.76535639837721</v>
      </c>
      <c r="C39" s="27">
        <f t="shared" si="1"/>
        <v>0.61523722136178605</v>
      </c>
      <c r="D39" s="27">
        <f t="shared" si="2"/>
        <v>16.198556516599051</v>
      </c>
    </row>
    <row r="40" spans="1:4" x14ac:dyDescent="0.2">
      <c r="A40">
        <v>25</v>
      </c>
      <c r="B40" s="27">
        <f t="shared" si="0"/>
        <v>389.37857955476392</v>
      </c>
      <c r="C40" s="27">
        <f t="shared" si="1"/>
        <v>0.61120909141170221</v>
      </c>
      <c r="D40" s="27">
        <f t="shared" si="2"/>
        <v>15.575143182190557</v>
      </c>
    </row>
    <row r="41" spans="1:4" x14ac:dyDescent="0.2">
      <c r="A41">
        <v>26</v>
      </c>
      <c r="B41" s="27">
        <f t="shared" si="0"/>
        <v>389.9877745812006</v>
      </c>
      <c r="C41" s="27">
        <f t="shared" si="1"/>
        <v>0.60718096146161837</v>
      </c>
      <c r="D41" s="27">
        <f t="shared" si="2"/>
        <v>14.999529791584639</v>
      </c>
    </row>
    <row r="42" spans="1:4" x14ac:dyDescent="0.2">
      <c r="A42">
        <v>27</v>
      </c>
      <c r="B42" s="27">
        <f t="shared" si="0"/>
        <v>390.59294147768713</v>
      </c>
      <c r="C42" s="27">
        <f t="shared" si="1"/>
        <v>0.60315283151153443</v>
      </c>
      <c r="D42" s="27">
        <f t="shared" si="2"/>
        <v>14.466405239914339</v>
      </c>
    </row>
    <row r="43" spans="1:4" x14ac:dyDescent="0.2">
      <c r="A43">
        <v>28</v>
      </c>
      <c r="B43" s="27">
        <f t="shared" si="0"/>
        <v>391.19408024422364</v>
      </c>
      <c r="C43" s="27">
        <f t="shared" si="1"/>
        <v>0.5991247015614507</v>
      </c>
      <c r="D43" s="27">
        <f t="shared" si="2"/>
        <v>13.971217151579415</v>
      </c>
    </row>
    <row r="44" spans="1:4" x14ac:dyDescent="0.2">
      <c r="A44">
        <v>29</v>
      </c>
      <c r="B44" s="27">
        <f t="shared" si="0"/>
        <v>391.79119088081012</v>
      </c>
      <c r="C44" s="27">
        <f t="shared" si="1"/>
        <v>0.59509657161136675</v>
      </c>
      <c r="D44" s="27">
        <f t="shared" si="2"/>
        <v>13.510041064855521</v>
      </c>
    </row>
    <row r="45" spans="1:4" x14ac:dyDescent="0.2">
      <c r="A45">
        <v>30</v>
      </c>
      <c r="B45" s="27">
        <f t="shared" si="0"/>
        <v>392.3842733874464</v>
      </c>
      <c r="C45" s="27">
        <f t="shared" si="1"/>
        <v>0.59106844166128303</v>
      </c>
      <c r="D45" s="27">
        <f t="shared" si="2"/>
        <v>13.079475779581546</v>
      </c>
    </row>
    <row r="46" spans="1:4" x14ac:dyDescent="0.2">
      <c r="A46">
        <v>31</v>
      </c>
      <c r="B46" s="27">
        <f t="shared" si="0"/>
        <v>392.97332776413265</v>
      </c>
      <c r="C46" s="27">
        <f t="shared" si="1"/>
        <v>0.58704031171119908</v>
      </c>
      <c r="D46" s="27">
        <f t="shared" si="2"/>
        <v>12.676558960133312</v>
      </c>
    </row>
    <row r="47" spans="1:4" x14ac:dyDescent="0.2">
      <c r="A47">
        <v>32</v>
      </c>
      <c r="B47" s="27">
        <f t="shared" si="0"/>
        <v>393.55835401086881</v>
      </c>
      <c r="C47" s="27">
        <f t="shared" si="1"/>
        <v>0.58301218176111524</v>
      </c>
      <c r="D47" s="27">
        <f t="shared" si="2"/>
        <v>12.29869856283965</v>
      </c>
    </row>
    <row r="48" spans="1:4" x14ac:dyDescent="0.2">
      <c r="A48">
        <v>33</v>
      </c>
      <c r="B48" s="27">
        <f t="shared" si="0"/>
        <v>394.13935212765489</v>
      </c>
      <c r="C48" s="27">
        <f t="shared" si="1"/>
        <v>0.57898405181103141</v>
      </c>
      <c r="D48" s="27">
        <f t="shared" si="2"/>
        <v>11.943616731141057</v>
      </c>
    </row>
    <row r="49" spans="1:4" x14ac:dyDescent="0.2">
      <c r="A49">
        <v>34</v>
      </c>
      <c r="B49" s="27">
        <f t="shared" si="0"/>
        <v>394.71632211449088</v>
      </c>
      <c r="C49" s="27">
        <f t="shared" si="1"/>
        <v>0.57495592186094746</v>
      </c>
      <c r="D49" s="27">
        <f t="shared" si="2"/>
        <v>11.609303591602673</v>
      </c>
    </row>
    <row r="50" spans="1:4" x14ac:dyDescent="0.2">
      <c r="A50">
        <v>35</v>
      </c>
      <c r="B50" s="27">
        <f t="shared" si="0"/>
        <v>395.28926397137678</v>
      </c>
      <c r="C50" s="27">
        <f t="shared" si="1"/>
        <v>0.57092779191086374</v>
      </c>
      <c r="D50" s="27">
        <f t="shared" si="2"/>
        <v>11.293978970610766</v>
      </c>
    </row>
    <row r="51" spans="1:4" x14ac:dyDescent="0.2">
      <c r="A51">
        <v>36</v>
      </c>
      <c r="B51" s="27">
        <f t="shared" si="0"/>
        <v>395.8581776983126</v>
      </c>
      <c r="C51" s="27">
        <f t="shared" si="1"/>
        <v>0.56689966196077979</v>
      </c>
      <c r="D51" s="27">
        <f t="shared" si="2"/>
        <v>10.996060491619794</v>
      </c>
    </row>
    <row r="52" spans="1:4" x14ac:dyDescent="0.2">
      <c r="A52">
        <v>37</v>
      </c>
      <c r="B52" s="27">
        <f t="shared" si="0"/>
        <v>396.42306329529828</v>
      </c>
      <c r="C52" s="27">
        <f t="shared" si="1"/>
        <v>0.56287153201069606</v>
      </c>
      <c r="D52" s="27">
        <f t="shared" si="2"/>
        <v>10.714136845818873</v>
      </c>
    </row>
    <row r="53" spans="1:4" x14ac:dyDescent="0.2">
      <c r="A53">
        <v>38</v>
      </c>
      <c r="B53" s="27">
        <f t="shared" si="0"/>
        <v>396.98392076233398</v>
      </c>
      <c r="C53" s="27">
        <f t="shared" si="1"/>
        <v>0.55884340206061212</v>
      </c>
      <c r="D53" s="27">
        <f t="shared" si="2"/>
        <v>10.446945283219316</v>
      </c>
    </row>
    <row r="54" spans="1:4" x14ac:dyDescent="0.2">
      <c r="A54">
        <v>39</v>
      </c>
      <c r="B54" s="27">
        <f t="shared" si="0"/>
        <v>397.54075009941954</v>
      </c>
      <c r="C54" s="27">
        <f t="shared" si="1"/>
        <v>0.55481527211052828</v>
      </c>
      <c r="D54" s="27">
        <f t="shared" si="2"/>
        <v>10.193352566651782</v>
      </c>
    </row>
    <row r="55" spans="1:4" x14ac:dyDescent="0.2">
      <c r="A55">
        <v>40</v>
      </c>
      <c r="B55" s="27">
        <f t="shared" si="0"/>
        <v>398.09355130655501</v>
      </c>
      <c r="C55" s="27">
        <f t="shared" si="1"/>
        <v>0.55078714216044444</v>
      </c>
      <c r="D55" s="27">
        <f t="shared" si="2"/>
        <v>9.9523387826638761</v>
      </c>
    </row>
    <row r="56" spans="1:4" x14ac:dyDescent="0.2">
      <c r="A56">
        <v>41</v>
      </c>
      <c r="B56" s="27">
        <f t="shared" si="0"/>
        <v>398.64232438374046</v>
      </c>
      <c r="C56" s="27">
        <f t="shared" si="1"/>
        <v>0.5467590122103605</v>
      </c>
      <c r="D56" s="27">
        <f t="shared" si="2"/>
        <v>9.7229835215546458</v>
      </c>
    </row>
    <row r="57" spans="1:4" x14ac:dyDescent="0.2">
      <c r="A57">
        <v>42</v>
      </c>
      <c r="B57" s="27">
        <f t="shared" si="0"/>
        <v>399.18706933097576</v>
      </c>
      <c r="C57" s="27">
        <f t="shared" si="1"/>
        <v>0.54273088226027677</v>
      </c>
      <c r="D57" s="27">
        <f t="shared" si="2"/>
        <v>9.5044540316898996</v>
      </c>
    </row>
    <row r="58" spans="1:4" x14ac:dyDescent="0.2">
      <c r="A58">
        <v>43</v>
      </c>
      <c r="B58" s="27">
        <f t="shared" si="0"/>
        <v>399.72778614826103</v>
      </c>
      <c r="C58" s="27">
        <f t="shared" si="1"/>
        <v>0.53870275231019282</v>
      </c>
      <c r="D58" s="27">
        <f t="shared" si="2"/>
        <v>9.2959950267037446</v>
      </c>
    </row>
    <row r="59" spans="1:4" x14ac:dyDescent="0.2">
      <c r="A59">
        <v>44</v>
      </c>
      <c r="B59" s="27">
        <f t="shared" si="0"/>
        <v>400.26447483559616</v>
      </c>
      <c r="C59" s="27">
        <f t="shared" si="1"/>
        <v>0.53467462236010899</v>
      </c>
      <c r="D59" s="27">
        <f t="shared" si="2"/>
        <v>9.0969198826271853</v>
      </c>
    </row>
    <row r="60" spans="1:4" x14ac:dyDescent="0.2">
      <c r="A60">
        <v>45</v>
      </c>
      <c r="B60" s="27">
        <f t="shared" si="0"/>
        <v>400.7971353929812</v>
      </c>
      <c r="C60" s="27">
        <f t="shared" si="1"/>
        <v>0.53064649241002515</v>
      </c>
      <c r="D60" s="27">
        <f t="shared" si="2"/>
        <v>8.9066030087329153</v>
      </c>
    </row>
    <row r="61" spans="1:4" x14ac:dyDescent="0.2">
      <c r="A61">
        <v>46</v>
      </c>
      <c r="B61" s="27">
        <f t="shared" si="0"/>
        <v>401.32576782041622</v>
      </c>
      <c r="C61" s="27">
        <f t="shared" si="1"/>
        <v>0.52661836245994131</v>
      </c>
      <c r="D61" s="27">
        <f t="shared" si="2"/>
        <v>8.7244732134873093</v>
      </c>
    </row>
    <row r="62" spans="1:4" x14ac:dyDescent="0.2">
      <c r="A62">
        <v>47</v>
      </c>
      <c r="B62" s="27">
        <f t="shared" si="0"/>
        <v>401.85037211790109</v>
      </c>
      <c r="C62" s="27">
        <f t="shared" si="1"/>
        <v>0.52259023250985748</v>
      </c>
      <c r="D62" s="27">
        <f t="shared" si="2"/>
        <v>8.5500079174021515</v>
      </c>
    </row>
    <row r="63" spans="1:4" x14ac:dyDescent="0.2">
      <c r="A63">
        <v>48</v>
      </c>
      <c r="B63" s="27">
        <f t="shared" si="0"/>
        <v>402.37094828543593</v>
      </c>
      <c r="C63" s="27">
        <f t="shared" si="1"/>
        <v>0.51856210255977353</v>
      </c>
      <c r="D63" s="27">
        <f t="shared" si="2"/>
        <v>8.3827280892799152</v>
      </c>
    </row>
    <row r="64" spans="1:4" x14ac:dyDescent="0.2">
      <c r="A64">
        <v>49</v>
      </c>
      <c r="B64" s="27">
        <f t="shared" si="0"/>
        <v>402.88749632302063</v>
      </c>
      <c r="C64" s="27">
        <f t="shared" si="1"/>
        <v>0.51453397260968969</v>
      </c>
      <c r="D64" s="27">
        <f t="shared" si="2"/>
        <v>8.2221938025106258</v>
      </c>
    </row>
    <row r="65" spans="1:4" x14ac:dyDescent="0.2">
      <c r="A65">
        <v>50</v>
      </c>
      <c r="B65" s="27">
        <f t="shared" si="0"/>
        <v>403.4000162306553</v>
      </c>
      <c r="C65" s="27">
        <f t="shared" si="1"/>
        <v>0.51050584265960586</v>
      </c>
      <c r="D65" s="27">
        <f t="shared" si="2"/>
        <v>8.0680003246131058</v>
      </c>
    </row>
    <row r="66" spans="1:4" x14ac:dyDescent="0.2">
      <c r="A66">
        <v>51</v>
      </c>
      <c r="B66" s="27">
        <f t="shared" si="0"/>
        <v>403.90850800833982</v>
      </c>
      <c r="C66" s="27">
        <f t="shared" si="1"/>
        <v>0.50647771270952202</v>
      </c>
      <c r="D66" s="27">
        <f t="shared" si="2"/>
        <v>7.9197746668301923</v>
      </c>
    </row>
    <row r="67" spans="1:4" x14ac:dyDescent="0.2">
      <c r="A67">
        <v>52</v>
      </c>
      <c r="B67" s="27">
        <f t="shared" si="0"/>
        <v>404.41297165607438</v>
      </c>
      <c r="C67" s="27">
        <f t="shared" si="1"/>
        <v>0.50244958275943818</v>
      </c>
      <c r="D67" s="27">
        <f t="shared" si="2"/>
        <v>7.7771725318475839</v>
      </c>
    </row>
    <row r="68" spans="1:4" x14ac:dyDescent="0.2">
      <c r="A68">
        <v>53</v>
      </c>
      <c r="B68" s="27">
        <f t="shared" si="0"/>
        <v>404.91340717385873</v>
      </c>
      <c r="C68" s="27">
        <f t="shared" si="1"/>
        <v>0.49842145280935435</v>
      </c>
      <c r="D68" s="27">
        <f t="shared" si="2"/>
        <v>7.6398756070539386</v>
      </c>
    </row>
    <row r="69" spans="1:4" x14ac:dyDescent="0.2">
      <c r="A69">
        <v>54</v>
      </c>
      <c r="B69" s="27">
        <f t="shared" si="0"/>
        <v>405.40981456169305</v>
      </c>
      <c r="C69" s="27">
        <f t="shared" si="1"/>
        <v>0.49439332285927046</v>
      </c>
      <c r="D69" s="27">
        <f t="shared" si="2"/>
        <v>7.5075891585498713</v>
      </c>
    </row>
    <row r="70" spans="1:4" x14ac:dyDescent="0.2">
      <c r="A70">
        <v>55</v>
      </c>
      <c r="B70" s="27">
        <f t="shared" si="0"/>
        <v>405.90219381957729</v>
      </c>
      <c r="C70" s="27">
        <f t="shared" si="1"/>
        <v>0.49036519290918662</v>
      </c>
      <c r="D70" s="27">
        <f t="shared" si="2"/>
        <v>7.3800398876286781</v>
      </c>
    </row>
    <row r="71" spans="1:4" x14ac:dyDescent="0.2">
      <c r="A71">
        <v>56</v>
      </c>
      <c r="B71" s="27">
        <f t="shared" si="0"/>
        <v>406.39054494751139</v>
      </c>
      <c r="C71" s="27">
        <f t="shared" si="1"/>
        <v>0.48633706295910273</v>
      </c>
      <c r="D71" s="27">
        <f t="shared" si="2"/>
        <v>7.2569740169198464</v>
      </c>
    </row>
    <row r="72" spans="1:4" x14ac:dyDescent="0.2">
      <c r="A72">
        <v>57</v>
      </c>
      <c r="B72" s="27">
        <f t="shared" si="0"/>
        <v>406.87486794549551</v>
      </c>
      <c r="C72" s="27">
        <f t="shared" si="1"/>
        <v>0.48230893300901889</v>
      </c>
      <c r="D72" s="27">
        <f t="shared" si="2"/>
        <v>7.1381555779911494</v>
      </c>
    </row>
    <row r="73" spans="1:4" x14ac:dyDescent="0.2">
      <c r="A73">
        <v>58</v>
      </c>
      <c r="B73" s="27">
        <f t="shared" si="0"/>
        <v>407.35516281352943</v>
      </c>
      <c r="C73" s="27">
        <f t="shared" si="1"/>
        <v>0.47828080305893506</v>
      </c>
      <c r="D73" s="27">
        <f t="shared" si="2"/>
        <v>7.0233648760953349</v>
      </c>
    </row>
    <row r="74" spans="1:4" x14ac:dyDescent="0.2">
      <c r="A74">
        <v>59</v>
      </c>
      <c r="B74" s="27">
        <f t="shared" si="0"/>
        <v>407.83142955161333</v>
      </c>
      <c r="C74" s="27">
        <f t="shared" si="1"/>
        <v>0.47425267310885122</v>
      </c>
      <c r="D74" s="27">
        <f t="shared" si="2"/>
        <v>6.9123971110442932</v>
      </c>
    </row>
    <row r="75" spans="1:4" x14ac:dyDescent="0.2">
      <c r="A75">
        <v>60</v>
      </c>
      <c r="B75" s="27">
        <f t="shared" si="0"/>
        <v>408.30366815974713</v>
      </c>
      <c r="C75" s="27">
        <f t="shared" si="1"/>
        <v>0.47022454315876733</v>
      </c>
      <c r="D75" s="27">
        <f t="shared" si="2"/>
        <v>6.8050611359957855</v>
      </c>
    </row>
    <row r="76" spans="1:4" x14ac:dyDescent="0.2">
      <c r="A76">
        <v>61</v>
      </c>
      <c r="B76" s="27">
        <f t="shared" si="0"/>
        <v>408.77187863793085</v>
      </c>
      <c r="C76" s="27">
        <f t="shared" si="1"/>
        <v>0.46619641320868349</v>
      </c>
      <c r="D76" s="27">
        <f t="shared" si="2"/>
        <v>6.7011783383267352</v>
      </c>
    </row>
    <row r="77" spans="1:4" x14ac:dyDescent="0.2">
      <c r="A77">
        <v>62</v>
      </c>
      <c r="B77" s="27">
        <f t="shared" si="0"/>
        <v>409.23606098616449</v>
      </c>
      <c r="C77" s="27">
        <f t="shared" si="1"/>
        <v>0.4621682832585996</v>
      </c>
      <c r="D77" s="27">
        <f t="shared" si="2"/>
        <v>6.6005816288091044</v>
      </c>
    </row>
    <row r="78" spans="1:4" x14ac:dyDescent="0.2">
      <c r="A78">
        <v>63</v>
      </c>
      <c r="B78" s="27">
        <f t="shared" si="0"/>
        <v>409.69621520444809</v>
      </c>
      <c r="C78" s="27">
        <f t="shared" si="1"/>
        <v>0.45814015330851576</v>
      </c>
      <c r="D78" s="27">
        <f t="shared" si="2"/>
        <v>6.5031145270547315</v>
      </c>
    </row>
    <row r="79" spans="1:4" x14ac:dyDescent="0.2">
      <c r="A79">
        <v>64</v>
      </c>
      <c r="B79" s="27">
        <f t="shared" si="0"/>
        <v>410.15234129278156</v>
      </c>
      <c r="C79" s="27">
        <f t="shared" si="1"/>
        <v>0.45411202335843193</v>
      </c>
      <c r="D79" s="27">
        <f t="shared" si="2"/>
        <v>6.4086303326997118</v>
      </c>
    </row>
    <row r="80" spans="1:4" x14ac:dyDescent="0.2">
      <c r="A80">
        <v>65</v>
      </c>
      <c r="B80" s="27">
        <f t="shared" si="0"/>
        <v>410.60443925116499</v>
      </c>
      <c r="C80" s="27">
        <f t="shared" si="1"/>
        <v>0.45008389340834809</v>
      </c>
      <c r="D80" s="27">
        <f t="shared" si="2"/>
        <v>6.3169913730948464</v>
      </c>
    </row>
    <row r="81" spans="1:4" x14ac:dyDescent="0.2">
      <c r="A81">
        <v>66</v>
      </c>
      <c r="B81" s="27">
        <f t="shared" ref="B81:B144" si="3">$B$4+($B$5*A81)+($B$6*A81^2)+($B$7*$B$13)+($B$8*$B$13)+($B$9*$B$13*A81)+($B$10*$B$12)</f>
        <v>411.05250907959828</v>
      </c>
      <c r="C81" s="27">
        <f t="shared" ref="C81:C144" si="4">$B$5+(2*$B$6*A81)+($B$9*$B$13)</f>
        <v>0.4460557634582642</v>
      </c>
      <c r="D81" s="27">
        <f t="shared" ref="D81:D144" si="5">B81/A81</f>
        <v>6.2280683193878525</v>
      </c>
    </row>
    <row r="82" spans="1:4" x14ac:dyDescent="0.2">
      <c r="A82">
        <v>67</v>
      </c>
      <c r="B82" s="27">
        <f t="shared" si="3"/>
        <v>411.49655077808148</v>
      </c>
      <c r="C82" s="27">
        <f t="shared" si="4"/>
        <v>0.44202763350818036</v>
      </c>
      <c r="D82" s="27">
        <f t="shared" si="5"/>
        <v>6.1417395638519627</v>
      </c>
    </row>
    <row r="83" spans="1:4" x14ac:dyDescent="0.2">
      <c r="A83">
        <v>68</v>
      </c>
      <c r="B83" s="27">
        <f t="shared" si="3"/>
        <v>411.9365643466146</v>
      </c>
      <c r="C83" s="27">
        <f t="shared" si="4"/>
        <v>0.43799950355809653</v>
      </c>
      <c r="D83" s="27">
        <f t="shared" si="5"/>
        <v>6.0578906521560967</v>
      </c>
    </row>
    <row r="84" spans="1:4" x14ac:dyDescent="0.2">
      <c r="A84">
        <v>69</v>
      </c>
      <c r="B84" s="27">
        <f t="shared" si="3"/>
        <v>412.37254978519763</v>
      </c>
      <c r="C84" s="27">
        <f t="shared" si="4"/>
        <v>0.43397137360801263</v>
      </c>
      <c r="D84" s="27">
        <f t="shared" si="5"/>
        <v>5.9764137650028646</v>
      </c>
    </row>
    <row r="85" spans="1:4" x14ac:dyDescent="0.2">
      <c r="A85">
        <v>70</v>
      </c>
      <c r="B85" s="27">
        <f t="shared" si="3"/>
        <v>412.80450709383064</v>
      </c>
      <c r="C85" s="27">
        <f t="shared" si="4"/>
        <v>0.4299432436579288</v>
      </c>
      <c r="D85" s="27">
        <f t="shared" si="5"/>
        <v>5.8972072441975802</v>
      </c>
    </row>
    <row r="86" spans="1:4" x14ac:dyDescent="0.2">
      <c r="A86">
        <v>71</v>
      </c>
      <c r="B86" s="27">
        <f t="shared" si="3"/>
        <v>413.2324362725135</v>
      </c>
      <c r="C86" s="27">
        <f t="shared" si="4"/>
        <v>0.42591511370784496</v>
      </c>
      <c r="D86" s="27">
        <f t="shared" si="5"/>
        <v>5.8201751587677961</v>
      </c>
    </row>
    <row r="87" spans="1:4" x14ac:dyDescent="0.2">
      <c r="A87">
        <v>72</v>
      </c>
      <c r="B87" s="27">
        <f t="shared" si="3"/>
        <v>413.65633732124627</v>
      </c>
      <c r="C87" s="27">
        <f t="shared" si="4"/>
        <v>0.42188698375776112</v>
      </c>
      <c r="D87" s="27">
        <f t="shared" si="5"/>
        <v>5.7452269072395312</v>
      </c>
    </row>
    <row r="88" spans="1:4" x14ac:dyDescent="0.2">
      <c r="A88">
        <v>73</v>
      </c>
      <c r="B88" s="27">
        <f t="shared" si="3"/>
        <v>414.07621024002901</v>
      </c>
      <c r="C88" s="27">
        <f t="shared" si="4"/>
        <v>0.41785885380767723</v>
      </c>
      <c r="D88" s="27">
        <f t="shared" si="5"/>
        <v>5.6722768526031375</v>
      </c>
    </row>
    <row r="89" spans="1:4" x14ac:dyDescent="0.2">
      <c r="A89">
        <v>74</v>
      </c>
      <c r="B89" s="27">
        <f t="shared" si="3"/>
        <v>414.49205502886167</v>
      </c>
      <c r="C89" s="27">
        <f t="shared" si="4"/>
        <v>0.4138307238575934</v>
      </c>
      <c r="D89" s="27">
        <f t="shared" si="5"/>
        <v>5.6012439868765087</v>
      </c>
    </row>
    <row r="90" spans="1:4" x14ac:dyDescent="0.2">
      <c r="A90">
        <v>75</v>
      </c>
      <c r="B90" s="27">
        <f t="shared" si="3"/>
        <v>414.90387168774419</v>
      </c>
      <c r="C90" s="27">
        <f t="shared" si="4"/>
        <v>0.40980259390750956</v>
      </c>
      <c r="D90" s="27">
        <f t="shared" si="5"/>
        <v>5.5320516225032561</v>
      </c>
    </row>
    <row r="91" spans="1:4" x14ac:dyDescent="0.2">
      <c r="A91">
        <v>76</v>
      </c>
      <c r="B91" s="27">
        <f t="shared" si="3"/>
        <v>415.31166021667673</v>
      </c>
      <c r="C91" s="27">
        <f t="shared" si="4"/>
        <v>0.40577446395742567</v>
      </c>
      <c r="D91" s="27">
        <f t="shared" si="5"/>
        <v>5.4646271081141675</v>
      </c>
    </row>
    <row r="92" spans="1:4" x14ac:dyDescent="0.2">
      <c r="A92">
        <v>77</v>
      </c>
      <c r="B92" s="27">
        <f t="shared" si="3"/>
        <v>415.71542061565907</v>
      </c>
      <c r="C92" s="27">
        <f t="shared" si="4"/>
        <v>0.40174633400734183</v>
      </c>
      <c r="D92" s="27">
        <f t="shared" si="5"/>
        <v>5.3989015664371305</v>
      </c>
    </row>
    <row r="93" spans="1:4" x14ac:dyDescent="0.2">
      <c r="A93">
        <v>78</v>
      </c>
      <c r="B93" s="27">
        <f t="shared" si="3"/>
        <v>416.11515288469138</v>
      </c>
      <c r="C93" s="27">
        <f t="shared" si="4"/>
        <v>0.397718204057258</v>
      </c>
      <c r="D93" s="27">
        <f t="shared" si="5"/>
        <v>5.3348096523678379</v>
      </c>
    </row>
    <row r="94" spans="1:4" x14ac:dyDescent="0.2">
      <c r="A94">
        <v>79</v>
      </c>
      <c r="B94" s="27">
        <f t="shared" si="3"/>
        <v>416.51085702377361</v>
      </c>
      <c r="C94" s="27">
        <f t="shared" si="4"/>
        <v>0.3936900741071741</v>
      </c>
      <c r="D94" s="27">
        <f t="shared" si="5"/>
        <v>5.2722893294148561</v>
      </c>
    </row>
    <row r="95" spans="1:4" x14ac:dyDescent="0.2">
      <c r="A95">
        <v>80</v>
      </c>
      <c r="B95" s="27">
        <f t="shared" si="3"/>
        <v>416.90253303290575</v>
      </c>
      <c r="C95" s="27">
        <f t="shared" si="4"/>
        <v>0.38966194415709027</v>
      </c>
      <c r="D95" s="27">
        <f t="shared" si="5"/>
        <v>5.2112816629113219</v>
      </c>
    </row>
    <row r="96" spans="1:4" x14ac:dyDescent="0.2">
      <c r="A96">
        <v>81</v>
      </c>
      <c r="B96" s="27">
        <f t="shared" si="3"/>
        <v>417.29018091208781</v>
      </c>
      <c r="C96" s="27">
        <f t="shared" si="4"/>
        <v>0.38563381420700643</v>
      </c>
      <c r="D96" s="27">
        <f t="shared" si="5"/>
        <v>5.1517306285442936</v>
      </c>
    </row>
    <row r="97" spans="1:4" x14ac:dyDescent="0.2">
      <c r="A97">
        <v>82</v>
      </c>
      <c r="B97" s="27">
        <f t="shared" si="3"/>
        <v>417.67380066131972</v>
      </c>
      <c r="C97" s="27">
        <f t="shared" si="4"/>
        <v>0.38160568425692254</v>
      </c>
      <c r="D97" s="27">
        <f t="shared" si="5"/>
        <v>5.093582934894143</v>
      </c>
    </row>
    <row r="98" spans="1:4" x14ac:dyDescent="0.2">
      <c r="A98">
        <v>83</v>
      </c>
      <c r="B98" s="27">
        <f t="shared" si="3"/>
        <v>418.0533922806016</v>
      </c>
      <c r="C98" s="27">
        <f t="shared" si="4"/>
        <v>0.3775775543068387</v>
      </c>
      <c r="D98" s="27">
        <f t="shared" si="5"/>
        <v>5.0367878588024286</v>
      </c>
    </row>
    <row r="99" spans="1:4" x14ac:dyDescent="0.2">
      <c r="A99">
        <v>84</v>
      </c>
      <c r="B99" s="27">
        <f t="shared" si="3"/>
        <v>418.4289557699334</v>
      </c>
      <c r="C99" s="27">
        <f t="shared" si="4"/>
        <v>0.37354942435675487</v>
      </c>
      <c r="D99" s="27">
        <f t="shared" si="5"/>
        <v>4.981297092499207</v>
      </c>
    </row>
    <row r="100" spans="1:4" x14ac:dyDescent="0.2">
      <c r="A100">
        <v>85</v>
      </c>
      <c r="B100" s="27">
        <f t="shared" si="3"/>
        <v>418.80049112931511</v>
      </c>
      <c r="C100" s="27">
        <f t="shared" si="4"/>
        <v>0.36952129440667097</v>
      </c>
      <c r="D100" s="27">
        <f t="shared" si="5"/>
        <v>4.9270646015213542</v>
      </c>
    </row>
    <row r="101" spans="1:4" x14ac:dyDescent="0.2">
      <c r="A101">
        <v>86</v>
      </c>
      <c r="B101" s="27">
        <f t="shared" si="3"/>
        <v>419.16799835874679</v>
      </c>
      <c r="C101" s="27">
        <f t="shared" si="4"/>
        <v>0.36549316445658714</v>
      </c>
      <c r="D101" s="27">
        <f t="shared" si="5"/>
        <v>4.8740464925435676</v>
      </c>
    </row>
    <row r="102" spans="1:4" x14ac:dyDescent="0.2">
      <c r="A102">
        <v>87</v>
      </c>
      <c r="B102" s="27">
        <f t="shared" si="3"/>
        <v>419.53147745822832</v>
      </c>
      <c r="C102" s="27">
        <f t="shared" si="4"/>
        <v>0.3614650345065033</v>
      </c>
      <c r="D102" s="27">
        <f t="shared" si="5"/>
        <v>4.8222008903244635</v>
      </c>
    </row>
    <row r="103" spans="1:4" x14ac:dyDescent="0.2">
      <c r="A103">
        <v>88</v>
      </c>
      <c r="B103" s="27">
        <f t="shared" si="3"/>
        <v>419.89092842775977</v>
      </c>
      <c r="C103" s="27">
        <f t="shared" si="4"/>
        <v>0.35743690455641941</v>
      </c>
      <c r="D103" s="27">
        <f t="shared" si="5"/>
        <v>4.7714878230427251</v>
      </c>
    </row>
    <row r="104" spans="1:4" x14ac:dyDescent="0.2">
      <c r="A104">
        <v>89</v>
      </c>
      <c r="B104" s="27">
        <f t="shared" si="3"/>
        <v>420.24635126734114</v>
      </c>
      <c r="C104" s="27">
        <f t="shared" si="4"/>
        <v>0.35340877460633557</v>
      </c>
      <c r="D104" s="27">
        <f t="shared" si="5"/>
        <v>4.7218691153633836</v>
      </c>
    </row>
    <row r="105" spans="1:4" x14ac:dyDescent="0.2">
      <c r="A105">
        <v>90</v>
      </c>
      <c r="B105" s="27">
        <f t="shared" si="3"/>
        <v>420.59774597697242</v>
      </c>
      <c r="C105" s="27">
        <f t="shared" si="4"/>
        <v>0.34938064465625174</v>
      </c>
      <c r="D105" s="27">
        <f t="shared" si="5"/>
        <v>4.6733082886330273</v>
      </c>
    </row>
    <row r="106" spans="1:4" x14ac:dyDescent="0.2">
      <c r="A106">
        <v>91</v>
      </c>
      <c r="B106" s="27">
        <f t="shared" si="3"/>
        <v>420.94511255665361</v>
      </c>
      <c r="C106" s="27">
        <f t="shared" si="4"/>
        <v>0.3453525147061679</v>
      </c>
      <c r="D106" s="27">
        <f t="shared" si="5"/>
        <v>4.625770467655534</v>
      </c>
    </row>
    <row r="107" spans="1:4" x14ac:dyDescent="0.2">
      <c r="A107">
        <v>92</v>
      </c>
      <c r="B107" s="27">
        <f t="shared" si="3"/>
        <v>421.28845100638478</v>
      </c>
      <c r="C107" s="27">
        <f t="shared" si="4"/>
        <v>0.34132438475608401</v>
      </c>
      <c r="D107" s="27">
        <f t="shared" si="5"/>
        <v>4.5792222935476605</v>
      </c>
    </row>
    <row r="108" spans="1:4" x14ac:dyDescent="0.2">
      <c r="A108">
        <v>93</v>
      </c>
      <c r="B108" s="27">
        <f t="shared" si="3"/>
        <v>421.6277613261658</v>
      </c>
      <c r="C108" s="27">
        <f t="shared" si="4"/>
        <v>0.33729625480600017</v>
      </c>
      <c r="D108" s="27">
        <f t="shared" si="5"/>
        <v>4.5336318422168365</v>
      </c>
    </row>
    <row r="109" spans="1:4" x14ac:dyDescent="0.2">
      <c r="A109">
        <v>94</v>
      </c>
      <c r="B109" s="27">
        <f t="shared" si="3"/>
        <v>421.96304351599679</v>
      </c>
      <c r="C109" s="27">
        <f t="shared" si="4"/>
        <v>0.33326812485591634</v>
      </c>
      <c r="D109" s="27">
        <f t="shared" si="5"/>
        <v>4.4889685480425188</v>
      </c>
    </row>
    <row r="110" spans="1:4" x14ac:dyDescent="0.2">
      <c r="A110">
        <v>95</v>
      </c>
      <c r="B110" s="27">
        <f t="shared" si="3"/>
        <v>422.29429757587764</v>
      </c>
      <c r="C110" s="27">
        <f t="shared" si="4"/>
        <v>0.32923999490583244</v>
      </c>
      <c r="D110" s="27">
        <f t="shared" si="5"/>
        <v>4.4452031323776593</v>
      </c>
    </row>
    <row r="111" spans="1:4" x14ac:dyDescent="0.2">
      <c r="A111">
        <v>96</v>
      </c>
      <c r="B111" s="27">
        <f t="shared" si="3"/>
        <v>422.62152350580845</v>
      </c>
      <c r="C111" s="27">
        <f t="shared" si="4"/>
        <v>0.32521186495574861</v>
      </c>
      <c r="D111" s="27">
        <f t="shared" si="5"/>
        <v>4.4023075365188378</v>
      </c>
    </row>
    <row r="112" spans="1:4" x14ac:dyDescent="0.2">
      <c r="A112">
        <v>97</v>
      </c>
      <c r="B112" s="27">
        <f t="shared" si="3"/>
        <v>422.94472130578913</v>
      </c>
      <c r="C112" s="27">
        <f t="shared" si="4"/>
        <v>0.32118373500566477</v>
      </c>
      <c r="D112" s="27">
        <f t="shared" si="5"/>
        <v>4.360254858822568</v>
      </c>
    </row>
    <row r="113" spans="1:4" x14ac:dyDescent="0.2">
      <c r="A113">
        <v>98</v>
      </c>
      <c r="B113" s="27">
        <f t="shared" si="3"/>
        <v>423.26389097581978</v>
      </c>
      <c r="C113" s="27">
        <f t="shared" si="4"/>
        <v>0.31715560505558088</v>
      </c>
      <c r="D113" s="27">
        <f t="shared" si="5"/>
        <v>4.3190192956716302</v>
      </c>
    </row>
    <row r="114" spans="1:4" x14ac:dyDescent="0.2">
      <c r="A114">
        <v>99</v>
      </c>
      <c r="B114" s="27">
        <f t="shared" si="3"/>
        <v>423.57903251590034</v>
      </c>
      <c r="C114" s="27">
        <f t="shared" si="4"/>
        <v>0.31312747510549704</v>
      </c>
      <c r="D114" s="27">
        <f t="shared" si="5"/>
        <v>4.2785760860191955</v>
      </c>
    </row>
    <row r="115" spans="1:4" x14ac:dyDescent="0.2">
      <c r="A115">
        <v>100</v>
      </c>
      <c r="B115" s="27">
        <f t="shared" si="3"/>
        <v>423.89014592603081</v>
      </c>
      <c r="C115" s="27">
        <f t="shared" si="4"/>
        <v>0.30909934515541321</v>
      </c>
      <c r="D115" s="27">
        <f t="shared" si="5"/>
        <v>4.2389014592603083</v>
      </c>
    </row>
    <row r="116" spans="1:4" x14ac:dyDescent="0.2">
      <c r="A116">
        <v>101</v>
      </c>
      <c r="B116" s="27">
        <f t="shared" si="3"/>
        <v>424.19723120621114</v>
      </c>
      <c r="C116" s="27">
        <f t="shared" si="4"/>
        <v>0.30507121520532932</v>
      </c>
      <c r="D116" s="27">
        <f t="shared" si="5"/>
        <v>4.1999725862001105</v>
      </c>
    </row>
    <row r="117" spans="1:4" x14ac:dyDescent="0.2">
      <c r="A117">
        <v>102</v>
      </c>
      <c r="B117" s="27">
        <f t="shared" si="3"/>
        <v>424.50028835644144</v>
      </c>
      <c r="C117" s="27">
        <f t="shared" si="4"/>
        <v>0.30104308525524548</v>
      </c>
      <c r="D117" s="27">
        <f t="shared" si="5"/>
        <v>4.1617675329062891</v>
      </c>
    </row>
    <row r="118" spans="1:4" x14ac:dyDescent="0.2">
      <c r="A118">
        <v>103</v>
      </c>
      <c r="B118" s="27">
        <f t="shared" si="3"/>
        <v>424.7993173767216</v>
      </c>
      <c r="C118" s="27">
        <f t="shared" si="4"/>
        <v>0.29701495530516164</v>
      </c>
      <c r="D118" s="27">
        <f t="shared" si="5"/>
        <v>4.1242652172497243</v>
      </c>
    </row>
    <row r="119" spans="1:4" x14ac:dyDescent="0.2">
      <c r="A119">
        <v>104</v>
      </c>
      <c r="B119" s="27">
        <f t="shared" si="3"/>
        <v>425.09431826705173</v>
      </c>
      <c r="C119" s="27">
        <f t="shared" si="4"/>
        <v>0.29298682535507781</v>
      </c>
      <c r="D119" s="27">
        <f t="shared" si="5"/>
        <v>4.0874453679524203</v>
      </c>
    </row>
    <row r="120" spans="1:4" x14ac:dyDescent="0.2">
      <c r="A120">
        <v>105</v>
      </c>
      <c r="B120" s="27">
        <f t="shared" si="3"/>
        <v>425.38529102743178</v>
      </c>
      <c r="C120" s="27">
        <f t="shared" si="4"/>
        <v>0.28895869540499391</v>
      </c>
      <c r="D120" s="27">
        <f t="shared" si="5"/>
        <v>4.0512884859755411</v>
      </c>
    </row>
    <row r="121" spans="1:4" x14ac:dyDescent="0.2">
      <c r="A121">
        <v>106</v>
      </c>
      <c r="B121" s="27">
        <f t="shared" si="3"/>
        <v>425.67223565786173</v>
      </c>
      <c r="C121" s="27">
        <f t="shared" si="4"/>
        <v>0.28493056545491008</v>
      </c>
      <c r="D121" s="27">
        <f t="shared" si="5"/>
        <v>4.0157758080930348</v>
      </c>
    </row>
    <row r="122" spans="1:4" x14ac:dyDescent="0.2">
      <c r="A122">
        <v>107</v>
      </c>
      <c r="B122" s="27">
        <f t="shared" si="3"/>
        <v>425.9551521583416</v>
      </c>
      <c r="C122" s="27">
        <f t="shared" si="4"/>
        <v>0.28090243550482624</v>
      </c>
      <c r="D122" s="27">
        <f t="shared" si="5"/>
        <v>3.9808892725078655</v>
      </c>
    </row>
    <row r="123" spans="1:4" x14ac:dyDescent="0.2">
      <c r="A123">
        <v>108</v>
      </c>
      <c r="B123" s="27">
        <f t="shared" si="3"/>
        <v>426.23404052887139</v>
      </c>
      <c r="C123" s="27">
        <f t="shared" si="4"/>
        <v>0.27687430555474235</v>
      </c>
      <c r="D123" s="27">
        <f t="shared" si="5"/>
        <v>3.9466114863784387</v>
      </c>
    </row>
    <row r="124" spans="1:4" x14ac:dyDescent="0.2">
      <c r="A124">
        <v>109</v>
      </c>
      <c r="B124" s="27">
        <f t="shared" si="3"/>
        <v>426.50890076945109</v>
      </c>
      <c r="C124" s="27">
        <f t="shared" si="4"/>
        <v>0.27284617560465851</v>
      </c>
      <c r="D124" s="27">
        <f t="shared" si="5"/>
        <v>3.9129256951325786</v>
      </c>
    </row>
    <row r="125" spans="1:4" x14ac:dyDescent="0.2">
      <c r="A125">
        <v>110</v>
      </c>
      <c r="B125" s="27">
        <f t="shared" si="3"/>
        <v>426.7797328800807</v>
      </c>
      <c r="C125" s="27">
        <f t="shared" si="4"/>
        <v>0.26881804565457468</v>
      </c>
      <c r="D125" s="27">
        <f t="shared" si="5"/>
        <v>3.8798157534552793</v>
      </c>
    </row>
    <row r="126" spans="1:4" x14ac:dyDescent="0.2">
      <c r="A126">
        <v>111</v>
      </c>
      <c r="B126" s="27">
        <f t="shared" si="3"/>
        <v>427.04653686076023</v>
      </c>
      <c r="C126" s="27">
        <f t="shared" si="4"/>
        <v>0.26478991570449079</v>
      </c>
      <c r="D126" s="27">
        <f t="shared" si="5"/>
        <v>3.8472660978446869</v>
      </c>
    </row>
    <row r="127" spans="1:4" x14ac:dyDescent="0.2">
      <c r="A127">
        <v>112</v>
      </c>
      <c r="B127" s="27">
        <f t="shared" si="3"/>
        <v>427.30931271148972</v>
      </c>
      <c r="C127" s="27">
        <f t="shared" si="4"/>
        <v>0.26076178575440695</v>
      </c>
      <c r="D127" s="27">
        <f t="shared" si="5"/>
        <v>3.815261720638301</v>
      </c>
    </row>
    <row r="128" spans="1:4" x14ac:dyDescent="0.2">
      <c r="A128">
        <v>113</v>
      </c>
      <c r="B128" s="27">
        <f t="shared" si="3"/>
        <v>427.56806043226908</v>
      </c>
      <c r="C128" s="27">
        <f t="shared" si="4"/>
        <v>0.25673365580432311</v>
      </c>
      <c r="D128" s="27">
        <f t="shared" si="5"/>
        <v>3.7837881454183102</v>
      </c>
    </row>
    <row r="129" spans="1:4" x14ac:dyDescent="0.2">
      <c r="A129">
        <v>114</v>
      </c>
      <c r="B129" s="27">
        <f t="shared" si="3"/>
        <v>427.82278002309835</v>
      </c>
      <c r="C129" s="27">
        <f t="shared" si="4"/>
        <v>0.25270552585423922</v>
      </c>
      <c r="D129" s="27">
        <f t="shared" si="5"/>
        <v>3.7528314037113888</v>
      </c>
    </row>
    <row r="130" spans="1:4" x14ac:dyDescent="0.2">
      <c r="A130">
        <v>115</v>
      </c>
      <c r="B130" s="27">
        <f t="shared" si="3"/>
        <v>428.07347148397753</v>
      </c>
      <c r="C130" s="27">
        <f t="shared" si="4"/>
        <v>0.24867739590415538</v>
      </c>
      <c r="D130" s="27">
        <f t="shared" si="5"/>
        <v>3.7223780129041524</v>
      </c>
    </row>
    <row r="131" spans="1:4" x14ac:dyDescent="0.2">
      <c r="A131">
        <v>116</v>
      </c>
      <c r="B131" s="27">
        <f t="shared" si="3"/>
        <v>428.32013481490662</v>
      </c>
      <c r="C131" s="27">
        <f t="shared" si="4"/>
        <v>0.24464926595407155</v>
      </c>
      <c r="D131" s="27">
        <f t="shared" si="5"/>
        <v>3.6924149553009191</v>
      </c>
    </row>
    <row r="132" spans="1:4" x14ac:dyDescent="0.2">
      <c r="A132">
        <v>117</v>
      </c>
      <c r="B132" s="27">
        <f t="shared" si="3"/>
        <v>428.56277001588569</v>
      </c>
      <c r="C132" s="27">
        <f t="shared" si="4"/>
        <v>0.24062113600398766</v>
      </c>
      <c r="D132" s="27">
        <f t="shared" si="5"/>
        <v>3.6629296582554334</v>
      </c>
    </row>
    <row r="133" spans="1:4" x14ac:dyDescent="0.2">
      <c r="A133">
        <v>118</v>
      </c>
      <c r="B133" s="27">
        <f t="shared" si="3"/>
        <v>428.80137708691461</v>
      </c>
      <c r="C133" s="27">
        <f t="shared" si="4"/>
        <v>0.23659300605390382</v>
      </c>
      <c r="D133" s="27">
        <f t="shared" si="5"/>
        <v>3.6339099753128359</v>
      </c>
    </row>
    <row r="134" spans="1:4" x14ac:dyDescent="0.2">
      <c r="A134">
        <v>119</v>
      </c>
      <c r="B134" s="27">
        <f t="shared" si="3"/>
        <v>429.03595602799345</v>
      </c>
      <c r="C134" s="27">
        <f t="shared" si="4"/>
        <v>0.23256487610381998</v>
      </c>
      <c r="D134" s="27">
        <f t="shared" si="5"/>
        <v>3.6053441683024658</v>
      </c>
    </row>
    <row r="135" spans="1:4" x14ac:dyDescent="0.2">
      <c r="A135">
        <v>120</v>
      </c>
      <c r="B135" s="27">
        <f t="shared" si="3"/>
        <v>429.26650683912226</v>
      </c>
      <c r="C135" s="27">
        <f t="shared" si="4"/>
        <v>0.22853674615373609</v>
      </c>
      <c r="D135" s="27">
        <f t="shared" si="5"/>
        <v>3.5772208903260188</v>
      </c>
    </row>
    <row r="136" spans="1:4" x14ac:dyDescent="0.2">
      <c r="A136">
        <v>121</v>
      </c>
      <c r="B136" s="27">
        <f t="shared" si="3"/>
        <v>429.49302952030098</v>
      </c>
      <c r="C136" s="27">
        <f t="shared" si="4"/>
        <v>0.22450861620365226</v>
      </c>
      <c r="D136" s="27">
        <f t="shared" si="5"/>
        <v>3.5495291695892641</v>
      </c>
    </row>
    <row r="137" spans="1:4" x14ac:dyDescent="0.2">
      <c r="A137">
        <v>122</v>
      </c>
      <c r="B137" s="27">
        <f t="shared" si="3"/>
        <v>429.71552407152961</v>
      </c>
      <c r="C137" s="27">
        <f t="shared" si="4"/>
        <v>0.22048048625356842</v>
      </c>
      <c r="D137" s="27">
        <f t="shared" si="5"/>
        <v>3.5222583940289311</v>
      </c>
    </row>
    <row r="138" spans="1:4" x14ac:dyDescent="0.2">
      <c r="A138">
        <v>123</v>
      </c>
      <c r="B138" s="27">
        <f t="shared" si="3"/>
        <v>429.93399049280811</v>
      </c>
      <c r="C138" s="27">
        <f t="shared" si="4"/>
        <v>0.21645235630348458</v>
      </c>
      <c r="D138" s="27">
        <f t="shared" si="5"/>
        <v>3.4953982966894968</v>
      </c>
    </row>
    <row r="139" spans="1:4" x14ac:dyDescent="0.2">
      <c r="A139">
        <v>124</v>
      </c>
      <c r="B139" s="27">
        <f t="shared" si="3"/>
        <v>430.14842878413657</v>
      </c>
      <c r="C139" s="27">
        <f t="shared" si="4"/>
        <v>0.21242422635340069</v>
      </c>
      <c r="D139" s="27">
        <f t="shared" si="5"/>
        <v>3.4689389418075529</v>
      </c>
    </row>
    <row r="140" spans="1:4" x14ac:dyDescent="0.2">
      <c r="A140">
        <v>125</v>
      </c>
      <c r="B140" s="27">
        <f t="shared" si="3"/>
        <v>430.35883894551489</v>
      </c>
      <c r="C140" s="27">
        <f t="shared" si="4"/>
        <v>0.2083960964033168</v>
      </c>
      <c r="D140" s="27">
        <f t="shared" si="5"/>
        <v>3.4428707115641193</v>
      </c>
    </row>
    <row r="141" spans="1:4" x14ac:dyDescent="0.2">
      <c r="A141">
        <v>126</v>
      </c>
      <c r="B141" s="27">
        <f t="shared" si="3"/>
        <v>430.56522097694318</v>
      </c>
      <c r="C141" s="27">
        <f t="shared" si="4"/>
        <v>0.20436796645323296</v>
      </c>
      <c r="D141" s="27">
        <f t="shared" si="5"/>
        <v>3.4171842934678032</v>
      </c>
    </row>
    <row r="142" spans="1:4" x14ac:dyDescent="0.2">
      <c r="A142">
        <v>127</v>
      </c>
      <c r="B142" s="27">
        <f t="shared" si="3"/>
        <v>430.76757487842133</v>
      </c>
      <c r="C142" s="27">
        <f t="shared" si="4"/>
        <v>0.20033983650314913</v>
      </c>
      <c r="D142" s="27">
        <f t="shared" si="5"/>
        <v>3.3918706683340263</v>
      </c>
    </row>
    <row r="143" spans="1:4" x14ac:dyDescent="0.2">
      <c r="A143">
        <v>128</v>
      </c>
      <c r="B143" s="27">
        <f t="shared" si="3"/>
        <v>430.96590064994945</v>
      </c>
      <c r="C143" s="27">
        <f t="shared" si="4"/>
        <v>0.19631170655306529</v>
      </c>
      <c r="D143" s="27">
        <f t="shared" si="5"/>
        <v>3.3669210988277301</v>
      </c>
    </row>
    <row r="144" spans="1:4" x14ac:dyDescent="0.2">
      <c r="A144">
        <v>129</v>
      </c>
      <c r="B144" s="27">
        <f t="shared" si="3"/>
        <v>431.16019829152748</v>
      </c>
      <c r="C144" s="27">
        <f t="shared" si="4"/>
        <v>0.19228357660298145</v>
      </c>
      <c r="D144" s="27">
        <f t="shared" si="5"/>
        <v>3.3423271185389729</v>
      </c>
    </row>
    <row r="145" spans="1:4" x14ac:dyDescent="0.2">
      <c r="A145">
        <v>130</v>
      </c>
      <c r="B145" s="27">
        <f t="shared" ref="B145:B208" si="6">$B$4+($B$5*A145)+($B$6*A145^2)+($B$7*$B$13)+($B$8*$B$13)+($B$9*$B$13*A145)+($B$10*$B$12)</f>
        <v>431.35046780315537</v>
      </c>
      <c r="C145" s="27">
        <f t="shared" ref="C145:C208" si="7">$B$5+(2*$B$6*A145)+($B$9*$B$13)</f>
        <v>0.18825544665289762</v>
      </c>
      <c r="D145" s="27">
        <f t="shared" ref="D145:D208" si="8">B145/A145</f>
        <v>3.3180805215627336</v>
      </c>
    </row>
    <row r="146" spans="1:4" x14ac:dyDescent="0.2">
      <c r="A146">
        <v>131</v>
      </c>
      <c r="B146" s="27">
        <f t="shared" si="6"/>
        <v>431.53670918483323</v>
      </c>
      <c r="C146" s="27">
        <f t="shared" si="7"/>
        <v>0.18422731670281378</v>
      </c>
      <c r="D146" s="27">
        <f t="shared" si="8"/>
        <v>3.2941733525559789</v>
      </c>
    </row>
    <row r="147" spans="1:4" x14ac:dyDescent="0.2">
      <c r="A147">
        <v>132</v>
      </c>
      <c r="B147" s="27">
        <f t="shared" si="6"/>
        <v>431.71892243656112</v>
      </c>
      <c r="C147" s="27">
        <f t="shared" si="7"/>
        <v>0.18019918675272983</v>
      </c>
      <c r="D147" s="27">
        <f t="shared" si="8"/>
        <v>3.2705978972466752</v>
      </c>
    </row>
    <row r="148" spans="1:4" x14ac:dyDescent="0.2">
      <c r="A148">
        <v>133</v>
      </c>
      <c r="B148" s="27">
        <f t="shared" si="6"/>
        <v>431.8971075583388</v>
      </c>
      <c r="C148" s="27">
        <f t="shared" si="7"/>
        <v>0.176171056802646</v>
      </c>
      <c r="D148" s="27">
        <f t="shared" si="8"/>
        <v>3.2473466733709686</v>
      </c>
    </row>
    <row r="149" spans="1:4" x14ac:dyDescent="0.2">
      <c r="A149">
        <v>134</v>
      </c>
      <c r="B149" s="27">
        <f t="shared" si="6"/>
        <v>432.07126455016635</v>
      </c>
      <c r="C149" s="27">
        <f t="shared" si="7"/>
        <v>0.17214292685256216</v>
      </c>
      <c r="D149" s="27">
        <f t="shared" si="8"/>
        <v>3.224412422016167</v>
      </c>
    </row>
    <row r="150" spans="1:4" x14ac:dyDescent="0.2">
      <c r="A150">
        <v>135</v>
      </c>
      <c r="B150" s="27">
        <f t="shared" si="6"/>
        <v>432.24139341204386</v>
      </c>
      <c r="C150" s="27">
        <f t="shared" si="7"/>
        <v>0.16811479690247833</v>
      </c>
      <c r="D150" s="27">
        <f t="shared" si="8"/>
        <v>3.2017880993484731</v>
      </c>
    </row>
    <row r="151" spans="1:4" x14ac:dyDescent="0.2">
      <c r="A151">
        <v>136</v>
      </c>
      <c r="B151" s="27">
        <f t="shared" si="6"/>
        <v>432.40749414397135</v>
      </c>
      <c r="C151" s="27">
        <f t="shared" si="7"/>
        <v>0.16408666695239449</v>
      </c>
      <c r="D151" s="27">
        <f t="shared" si="8"/>
        <v>3.1794668687056715</v>
      </c>
    </row>
    <row r="152" spans="1:4" x14ac:dyDescent="0.2">
      <c r="A152">
        <v>137</v>
      </c>
      <c r="B152" s="27">
        <f t="shared" si="6"/>
        <v>432.56956674594869</v>
      </c>
      <c r="C152" s="27">
        <f t="shared" si="7"/>
        <v>0.16005853700231065</v>
      </c>
      <c r="D152" s="27">
        <f t="shared" si="8"/>
        <v>3.157442093036122</v>
      </c>
    </row>
    <row r="153" spans="1:4" x14ac:dyDescent="0.2">
      <c r="A153">
        <v>138</v>
      </c>
      <c r="B153" s="27">
        <f t="shared" si="6"/>
        <v>432.72761121797589</v>
      </c>
      <c r="C153" s="27">
        <f t="shared" si="7"/>
        <v>0.15603040705222671</v>
      </c>
      <c r="D153" s="27">
        <f t="shared" si="8"/>
        <v>3.1357073276664922</v>
      </c>
    </row>
    <row r="154" spans="1:4" x14ac:dyDescent="0.2">
      <c r="A154">
        <v>139</v>
      </c>
      <c r="B154" s="27">
        <f t="shared" si="6"/>
        <v>432.88162756005312</v>
      </c>
      <c r="C154" s="27">
        <f t="shared" si="7"/>
        <v>0.15200227710214287</v>
      </c>
      <c r="D154" s="27">
        <f t="shared" si="8"/>
        <v>3.1142563133816772</v>
      </c>
    </row>
    <row r="155" spans="1:4" x14ac:dyDescent="0.2">
      <c r="A155">
        <v>140</v>
      </c>
      <c r="B155" s="27">
        <f t="shared" si="6"/>
        <v>433.0316157721802</v>
      </c>
      <c r="C155" s="27">
        <f t="shared" si="7"/>
        <v>0.14797414715205903</v>
      </c>
      <c r="D155" s="27">
        <f t="shared" si="8"/>
        <v>3.0930829698012872</v>
      </c>
    </row>
    <row r="156" spans="1:4" x14ac:dyDescent="0.2">
      <c r="A156">
        <v>141</v>
      </c>
      <c r="B156" s="27">
        <f t="shared" si="6"/>
        <v>433.1775758543572</v>
      </c>
      <c r="C156" s="27">
        <f t="shared" si="7"/>
        <v>0.1439460172019752</v>
      </c>
      <c r="D156" s="27">
        <f t="shared" si="8"/>
        <v>3.0721813890379943</v>
      </c>
    </row>
    <row r="157" spans="1:4" x14ac:dyDescent="0.2">
      <c r="A157">
        <v>142</v>
      </c>
      <c r="B157" s="27">
        <f t="shared" si="6"/>
        <v>433.31950780658417</v>
      </c>
      <c r="C157" s="27">
        <f t="shared" si="7"/>
        <v>0.13991788725189136</v>
      </c>
      <c r="D157" s="27">
        <f t="shared" si="8"/>
        <v>3.0515458296238323</v>
      </c>
    </row>
    <row r="158" spans="1:4" x14ac:dyDescent="0.2">
      <c r="A158">
        <v>143</v>
      </c>
      <c r="B158" s="27">
        <f t="shared" si="6"/>
        <v>433.457411628861</v>
      </c>
      <c r="C158" s="27">
        <f t="shared" si="7"/>
        <v>0.13588975730180752</v>
      </c>
      <c r="D158" s="27">
        <f t="shared" si="8"/>
        <v>3.0311707106913355</v>
      </c>
    </row>
    <row r="159" spans="1:4" x14ac:dyDescent="0.2">
      <c r="A159">
        <v>144</v>
      </c>
      <c r="B159" s="27">
        <f t="shared" si="6"/>
        <v>433.59128732118779</v>
      </c>
      <c r="C159" s="27">
        <f t="shared" si="7"/>
        <v>0.13186162735172369</v>
      </c>
      <c r="D159" s="27">
        <f t="shared" si="8"/>
        <v>3.0110506063971374</v>
      </c>
    </row>
    <row r="160" spans="1:4" x14ac:dyDescent="0.2">
      <c r="A160">
        <v>145</v>
      </c>
      <c r="B160" s="27">
        <f t="shared" si="6"/>
        <v>433.7211348835645</v>
      </c>
      <c r="C160" s="27">
        <f t="shared" si="7"/>
        <v>0.12783349740163974</v>
      </c>
      <c r="D160" s="27">
        <f t="shared" si="8"/>
        <v>2.9911802405763068</v>
      </c>
    </row>
    <row r="161" spans="1:4" x14ac:dyDescent="0.2">
      <c r="A161">
        <v>146</v>
      </c>
      <c r="B161" s="27">
        <f t="shared" si="6"/>
        <v>433.84695431599107</v>
      </c>
      <c r="C161" s="27">
        <f t="shared" si="7"/>
        <v>0.1238053674515559</v>
      </c>
      <c r="D161" s="27">
        <f t="shared" si="8"/>
        <v>2.9715544816163773</v>
      </c>
    </row>
    <row r="162" spans="1:4" x14ac:dyDescent="0.2">
      <c r="A162">
        <v>147</v>
      </c>
      <c r="B162" s="27">
        <f t="shared" si="6"/>
        <v>433.96874561846761</v>
      </c>
      <c r="C162" s="27">
        <f t="shared" si="7"/>
        <v>0.11977723750147207</v>
      </c>
      <c r="D162" s="27">
        <f t="shared" si="8"/>
        <v>2.9521683375405958</v>
      </c>
    </row>
    <row r="163" spans="1:4" x14ac:dyDescent="0.2">
      <c r="A163">
        <v>148</v>
      </c>
      <c r="B163" s="27">
        <f t="shared" si="6"/>
        <v>434.086508790994</v>
      </c>
      <c r="C163" s="27">
        <f t="shared" si="7"/>
        <v>0.11574910755138823</v>
      </c>
      <c r="D163" s="27">
        <f t="shared" si="8"/>
        <v>2.9330169512905</v>
      </c>
    </row>
    <row r="164" spans="1:4" x14ac:dyDescent="0.2">
      <c r="A164">
        <v>149</v>
      </c>
      <c r="B164" s="27">
        <f t="shared" si="6"/>
        <v>434.20024383357037</v>
      </c>
      <c r="C164" s="27">
        <f t="shared" si="7"/>
        <v>0.11172097760130439</v>
      </c>
      <c r="D164" s="27">
        <f t="shared" si="8"/>
        <v>2.9140955961984587</v>
      </c>
    </row>
    <row r="165" spans="1:4" x14ac:dyDescent="0.2">
      <c r="A165">
        <v>150</v>
      </c>
      <c r="B165" s="27">
        <f t="shared" si="6"/>
        <v>434.30995074619659</v>
      </c>
      <c r="C165" s="27">
        <f t="shared" si="7"/>
        <v>0.10769284765122056</v>
      </c>
      <c r="D165" s="27">
        <f t="shared" si="8"/>
        <v>2.8953996716413104</v>
      </c>
    </row>
    <row r="166" spans="1:4" x14ac:dyDescent="0.2">
      <c r="A166">
        <v>151</v>
      </c>
      <c r="B166" s="27">
        <f t="shared" si="6"/>
        <v>434.41562952887278</v>
      </c>
      <c r="C166" s="27">
        <f t="shared" si="7"/>
        <v>0.10366471770113661</v>
      </c>
      <c r="D166" s="27">
        <f t="shared" si="8"/>
        <v>2.876924698866707</v>
      </c>
    </row>
    <row r="167" spans="1:4" x14ac:dyDescent="0.2">
      <c r="A167">
        <v>152</v>
      </c>
      <c r="B167" s="27">
        <f t="shared" si="6"/>
        <v>434.51728018159889</v>
      </c>
      <c r="C167" s="27">
        <f t="shared" si="7"/>
        <v>9.9636587751052774E-2</v>
      </c>
      <c r="D167" s="27">
        <f t="shared" si="8"/>
        <v>2.8586663169842033</v>
      </c>
    </row>
    <row r="168" spans="1:4" x14ac:dyDescent="0.2">
      <c r="A168">
        <v>153</v>
      </c>
      <c r="B168" s="27">
        <f t="shared" si="6"/>
        <v>434.61490270437486</v>
      </c>
      <c r="C168" s="27">
        <f t="shared" si="7"/>
        <v>9.5608457800968938E-2</v>
      </c>
      <c r="D168" s="27">
        <f t="shared" si="8"/>
        <v>2.8406202791135611</v>
      </c>
    </row>
    <row r="169" spans="1:4" x14ac:dyDescent="0.2">
      <c r="A169">
        <v>154</v>
      </c>
      <c r="B169" s="27">
        <f t="shared" si="6"/>
        <v>434.70849709720079</v>
      </c>
      <c r="C169" s="27">
        <f t="shared" si="7"/>
        <v>9.1580327850885102E-2</v>
      </c>
      <c r="D169" s="27">
        <f t="shared" si="8"/>
        <v>2.8227824486831219</v>
      </c>
    </row>
    <row r="170" spans="1:4" x14ac:dyDescent="0.2">
      <c r="A170">
        <v>155</v>
      </c>
      <c r="B170" s="27">
        <f t="shared" si="6"/>
        <v>434.79806336007664</v>
      </c>
      <c r="C170" s="27">
        <f t="shared" si="7"/>
        <v>8.7552197900801265E-2</v>
      </c>
      <c r="D170" s="27">
        <f t="shared" si="8"/>
        <v>2.805148795871462</v>
      </c>
    </row>
    <row r="171" spans="1:4" x14ac:dyDescent="0.2">
      <c r="A171">
        <v>156</v>
      </c>
      <c r="B171" s="27">
        <f t="shared" si="6"/>
        <v>434.8836014930024</v>
      </c>
      <c r="C171" s="27">
        <f t="shared" si="7"/>
        <v>8.3524067950717429E-2</v>
      </c>
      <c r="D171" s="27">
        <f t="shared" si="8"/>
        <v>2.7877153941859127</v>
      </c>
    </row>
    <row r="172" spans="1:4" x14ac:dyDescent="0.2">
      <c r="A172">
        <v>157</v>
      </c>
      <c r="B172" s="27">
        <f t="shared" si="6"/>
        <v>434.96511149597814</v>
      </c>
      <c r="C172" s="27">
        <f t="shared" si="7"/>
        <v>7.9495938000633481E-2</v>
      </c>
      <c r="D172" s="27">
        <f t="shared" si="8"/>
        <v>2.7704784171718351</v>
      </c>
    </row>
    <row r="173" spans="1:4" x14ac:dyDescent="0.2">
      <c r="A173">
        <v>158</v>
      </c>
      <c r="B173" s="27">
        <f t="shared" si="6"/>
        <v>435.04259336900373</v>
      </c>
      <c r="C173" s="27">
        <f t="shared" si="7"/>
        <v>7.5467808050549645E-2</v>
      </c>
      <c r="D173" s="27">
        <f t="shared" si="8"/>
        <v>2.753434135246859</v>
      </c>
    </row>
    <row r="174" spans="1:4" x14ac:dyDescent="0.2">
      <c r="A174">
        <v>159</v>
      </c>
      <c r="B174" s="27">
        <f t="shared" si="6"/>
        <v>435.11604711207917</v>
      </c>
      <c r="C174" s="27">
        <f t="shared" si="7"/>
        <v>7.1439678100465809E-2</v>
      </c>
      <c r="D174" s="27">
        <f t="shared" si="8"/>
        <v>2.7365789126545859</v>
      </c>
    </row>
    <row r="175" spans="1:4" x14ac:dyDescent="0.2">
      <c r="A175">
        <v>160</v>
      </c>
      <c r="B175" s="27">
        <f t="shared" si="6"/>
        <v>435.18547272520459</v>
      </c>
      <c r="C175" s="27">
        <f t="shared" si="7"/>
        <v>6.7411548150381972E-2</v>
      </c>
      <c r="D175" s="27">
        <f t="shared" si="8"/>
        <v>2.7199092045325286</v>
      </c>
    </row>
    <row r="176" spans="1:4" x14ac:dyDescent="0.2">
      <c r="A176">
        <v>161</v>
      </c>
      <c r="B176" s="27">
        <f t="shared" si="6"/>
        <v>435.25087020837998</v>
      </c>
      <c r="C176" s="27">
        <f t="shared" si="7"/>
        <v>6.3383418200298136E-2</v>
      </c>
      <c r="D176" s="27">
        <f t="shared" si="8"/>
        <v>2.7034215540893167</v>
      </c>
    </row>
    <row r="177" spans="1:4" x14ac:dyDescent="0.2">
      <c r="A177">
        <v>162</v>
      </c>
      <c r="B177" s="27">
        <f t="shared" si="6"/>
        <v>435.31223956160522</v>
      </c>
      <c r="C177" s="27">
        <f t="shared" si="7"/>
        <v>5.93552882502143E-2</v>
      </c>
      <c r="D177" s="27">
        <f t="shared" si="8"/>
        <v>2.6871125898864521</v>
      </c>
    </row>
    <row r="178" spans="1:4" x14ac:dyDescent="0.2">
      <c r="A178">
        <v>163</v>
      </c>
      <c r="B178" s="27">
        <f t="shared" si="6"/>
        <v>435.36958078488038</v>
      </c>
      <c r="C178" s="27">
        <f t="shared" si="7"/>
        <v>5.5327158300130463E-2</v>
      </c>
      <c r="D178" s="27">
        <f t="shared" si="8"/>
        <v>2.6709790232201249</v>
      </c>
    </row>
    <row r="179" spans="1:4" x14ac:dyDescent="0.2">
      <c r="A179">
        <v>164</v>
      </c>
      <c r="B179" s="27">
        <f t="shared" si="6"/>
        <v>435.42289387820546</v>
      </c>
      <c r="C179" s="27">
        <f t="shared" si="7"/>
        <v>5.1299028350046516E-2</v>
      </c>
      <c r="D179" s="27">
        <f t="shared" si="8"/>
        <v>2.6550176455988139</v>
      </c>
    </row>
    <row r="180" spans="1:4" x14ac:dyDescent="0.2">
      <c r="A180">
        <v>165</v>
      </c>
      <c r="B180" s="27">
        <f t="shared" si="6"/>
        <v>435.47217884158044</v>
      </c>
      <c r="C180" s="27">
        <f t="shared" si="7"/>
        <v>4.727089839996268E-2</v>
      </c>
      <c r="D180" s="27">
        <f t="shared" si="8"/>
        <v>2.6392253263126086</v>
      </c>
    </row>
    <row r="181" spans="1:4" x14ac:dyDescent="0.2">
      <c r="A181">
        <v>166</v>
      </c>
      <c r="B181" s="27">
        <f t="shared" si="6"/>
        <v>435.51743567500534</v>
      </c>
      <c r="C181" s="27">
        <f t="shared" si="7"/>
        <v>4.3242768449878843E-2</v>
      </c>
      <c r="D181" s="27">
        <f t="shared" si="8"/>
        <v>2.6235990100903934</v>
      </c>
    </row>
    <row r="182" spans="1:4" x14ac:dyDescent="0.2">
      <c r="A182">
        <v>167</v>
      </c>
      <c r="B182" s="27">
        <f t="shared" si="6"/>
        <v>435.55866437848022</v>
      </c>
      <c r="C182" s="27">
        <f t="shared" si="7"/>
        <v>3.9214638499795007E-2</v>
      </c>
      <c r="D182" s="27">
        <f t="shared" si="8"/>
        <v>2.608135714841199</v>
      </c>
    </row>
    <row r="183" spans="1:4" x14ac:dyDescent="0.2">
      <c r="A183">
        <v>168</v>
      </c>
      <c r="B183" s="27">
        <f t="shared" si="6"/>
        <v>435.595864952005</v>
      </c>
      <c r="C183" s="27">
        <f t="shared" si="7"/>
        <v>3.5186508549711171E-2</v>
      </c>
      <c r="D183" s="27">
        <f t="shared" si="8"/>
        <v>2.5928325294762202</v>
      </c>
    </row>
    <row r="184" spans="1:4" x14ac:dyDescent="0.2">
      <c r="A184">
        <v>169</v>
      </c>
      <c r="B184" s="27">
        <f t="shared" si="6"/>
        <v>435.6290373955797</v>
      </c>
      <c r="C184" s="27">
        <f t="shared" si="7"/>
        <v>3.1158378599627334E-2</v>
      </c>
      <c r="D184" s="27">
        <f t="shared" si="8"/>
        <v>2.5776866118081641</v>
      </c>
    </row>
    <row r="185" spans="1:4" x14ac:dyDescent="0.2">
      <c r="A185">
        <v>170</v>
      </c>
      <c r="B185" s="27">
        <f t="shared" si="6"/>
        <v>435.65818170920426</v>
      </c>
      <c r="C185" s="27">
        <f t="shared" si="7"/>
        <v>2.7130248649543387E-2</v>
      </c>
      <c r="D185" s="27">
        <f t="shared" si="8"/>
        <v>2.5626951865247309</v>
      </c>
    </row>
    <row r="186" spans="1:4" x14ac:dyDescent="0.2">
      <c r="A186">
        <v>171</v>
      </c>
      <c r="B186" s="27">
        <f t="shared" si="6"/>
        <v>435.68329789287878</v>
      </c>
      <c r="C186" s="27">
        <f t="shared" si="7"/>
        <v>2.3102118699459551E-2</v>
      </c>
      <c r="D186" s="27">
        <f t="shared" si="8"/>
        <v>2.5478555432332093</v>
      </c>
    </row>
    <row r="187" spans="1:4" x14ac:dyDescent="0.2">
      <c r="A187">
        <v>172</v>
      </c>
      <c r="B187" s="27">
        <f t="shared" si="6"/>
        <v>435.70438594660317</v>
      </c>
      <c r="C187" s="27">
        <f t="shared" si="7"/>
        <v>1.9073988749375714E-2</v>
      </c>
      <c r="D187" s="27">
        <f t="shared" si="8"/>
        <v>2.5331650345732744</v>
      </c>
    </row>
    <row r="188" spans="1:4" x14ac:dyDescent="0.2">
      <c r="A188">
        <v>173</v>
      </c>
      <c r="B188" s="27">
        <f t="shared" si="6"/>
        <v>435.72144587037752</v>
      </c>
      <c r="C188" s="27">
        <f t="shared" si="7"/>
        <v>1.5045858799291878E-2</v>
      </c>
      <c r="D188" s="27">
        <f t="shared" si="8"/>
        <v>2.518621074395246</v>
      </c>
    </row>
    <row r="189" spans="1:4" x14ac:dyDescent="0.2">
      <c r="A189">
        <v>174</v>
      </c>
      <c r="B189" s="27">
        <f t="shared" si="6"/>
        <v>435.73447766420173</v>
      </c>
      <c r="C189" s="27">
        <f t="shared" si="7"/>
        <v>1.1017728849208042E-2</v>
      </c>
      <c r="D189" s="27">
        <f t="shared" si="8"/>
        <v>2.5042211360011595</v>
      </c>
    </row>
    <row r="190" spans="1:4" x14ac:dyDescent="0.2">
      <c r="A190">
        <v>175</v>
      </c>
      <c r="B190" s="27">
        <f t="shared" si="6"/>
        <v>435.74348132807592</v>
      </c>
      <c r="C190" s="27">
        <f t="shared" si="7"/>
        <v>6.9895988991242053E-3</v>
      </c>
      <c r="D190" s="27">
        <f t="shared" si="8"/>
        <v>2.4899627504461481</v>
      </c>
    </row>
    <row r="191" spans="1:4" x14ac:dyDescent="0.2">
      <c r="A191">
        <v>176</v>
      </c>
      <c r="B191" s="27">
        <f t="shared" si="6"/>
        <v>435.74845686199995</v>
      </c>
      <c r="C191" s="27">
        <f t="shared" si="7"/>
        <v>2.9614689490402579E-3</v>
      </c>
      <c r="D191" s="27">
        <f t="shared" si="8"/>
        <v>2.475843504897727</v>
      </c>
    </row>
    <row r="192" spans="1:4" x14ac:dyDescent="0.2">
      <c r="A192">
        <v>177</v>
      </c>
      <c r="B192" s="27">
        <f t="shared" si="6"/>
        <v>435.74940426597396</v>
      </c>
      <c r="C192" s="27">
        <f t="shared" si="7"/>
        <v>-1.0666610010435784E-3</v>
      </c>
      <c r="D192" s="27">
        <f t="shared" si="8"/>
        <v>2.4618610410507005</v>
      </c>
    </row>
    <row r="193" spans="1:4" x14ac:dyDescent="0.2">
      <c r="A193">
        <v>178</v>
      </c>
      <c r="B193" s="27">
        <f t="shared" si="6"/>
        <v>435.74632353999789</v>
      </c>
      <c r="C193" s="27">
        <f t="shared" si="7"/>
        <v>-5.0947909511274148E-3</v>
      </c>
      <c r="D193" s="27">
        <f t="shared" si="8"/>
        <v>2.4480130535954938</v>
      </c>
    </row>
    <row r="194" spans="1:4" x14ac:dyDescent="0.2">
      <c r="A194">
        <v>179</v>
      </c>
      <c r="B194" s="27">
        <f t="shared" si="6"/>
        <v>435.73921468407173</v>
      </c>
      <c r="C194" s="27">
        <f t="shared" si="7"/>
        <v>-9.1229209012112511E-3</v>
      </c>
      <c r="D194" s="27">
        <f t="shared" si="8"/>
        <v>2.4342972887378309</v>
      </c>
    </row>
    <row r="195" spans="1:4" x14ac:dyDescent="0.2">
      <c r="A195">
        <v>180</v>
      </c>
      <c r="B195" s="27">
        <f t="shared" si="6"/>
        <v>435.72807769819553</v>
      </c>
      <c r="C195" s="27">
        <f t="shared" si="7"/>
        <v>-1.3151050851295087E-2</v>
      </c>
      <c r="D195" s="27">
        <f t="shared" si="8"/>
        <v>2.4207115427677528</v>
      </c>
    </row>
    <row r="196" spans="1:4" x14ac:dyDescent="0.2">
      <c r="A196">
        <v>181</v>
      </c>
      <c r="B196" s="27">
        <f t="shared" si="6"/>
        <v>435.71291258236914</v>
      </c>
      <c r="C196" s="27">
        <f t="shared" si="7"/>
        <v>-1.7179180801378924E-2</v>
      </c>
      <c r="D196" s="27">
        <f t="shared" si="8"/>
        <v>2.4072536606760728</v>
      </c>
    </row>
    <row r="197" spans="1:4" x14ac:dyDescent="0.2">
      <c r="A197">
        <v>182</v>
      </c>
      <c r="B197" s="27">
        <f t="shared" si="6"/>
        <v>435.69371933659272</v>
      </c>
      <c r="C197" s="27">
        <f t="shared" si="7"/>
        <v>-2.120731075146276E-2</v>
      </c>
      <c r="D197" s="27">
        <f t="shared" si="8"/>
        <v>2.3939215348164433</v>
      </c>
    </row>
    <row r="198" spans="1:4" x14ac:dyDescent="0.2">
      <c r="A198">
        <v>183</v>
      </c>
      <c r="B198" s="27">
        <f t="shared" si="6"/>
        <v>435.67049796086621</v>
      </c>
      <c r="C198" s="27">
        <f t="shared" si="7"/>
        <v>-2.5235440701546707E-2</v>
      </c>
      <c r="D198" s="27">
        <f t="shared" si="8"/>
        <v>2.3807131036112907</v>
      </c>
    </row>
    <row r="199" spans="1:4" x14ac:dyDescent="0.2">
      <c r="A199">
        <v>184</v>
      </c>
      <c r="B199" s="27">
        <f t="shared" si="6"/>
        <v>435.64324845518962</v>
      </c>
      <c r="C199" s="27">
        <f t="shared" si="7"/>
        <v>-2.9263570651630544E-2</v>
      </c>
      <c r="D199" s="27">
        <f t="shared" si="8"/>
        <v>2.3676263502999437</v>
      </c>
    </row>
    <row r="200" spans="1:4" x14ac:dyDescent="0.2">
      <c r="A200">
        <v>185</v>
      </c>
      <c r="B200" s="27">
        <f t="shared" si="6"/>
        <v>435.61197081956294</v>
      </c>
      <c r="C200" s="27">
        <f t="shared" si="7"/>
        <v>-3.329170060171438E-2</v>
      </c>
      <c r="D200" s="27">
        <f t="shared" si="8"/>
        <v>2.3546593017273674</v>
      </c>
    </row>
    <row r="201" spans="1:4" x14ac:dyDescent="0.2">
      <c r="A201">
        <v>186</v>
      </c>
      <c r="B201" s="27">
        <f t="shared" si="6"/>
        <v>435.57666505398618</v>
      </c>
      <c r="C201" s="27">
        <f t="shared" si="7"/>
        <v>-3.7319830551798217E-2</v>
      </c>
      <c r="D201" s="27">
        <f t="shared" si="8"/>
        <v>2.3418100271719688</v>
      </c>
    </row>
    <row r="202" spans="1:4" x14ac:dyDescent="0.2">
      <c r="A202">
        <v>187</v>
      </c>
      <c r="B202" s="27">
        <f t="shared" si="6"/>
        <v>435.53733115845932</v>
      </c>
      <c r="C202" s="27">
        <f t="shared" si="7"/>
        <v>-4.1347960501882053E-2</v>
      </c>
      <c r="D202" s="27">
        <f t="shared" si="8"/>
        <v>2.3290766372110125</v>
      </c>
    </row>
    <row r="203" spans="1:4" x14ac:dyDescent="0.2">
      <c r="A203">
        <v>188</v>
      </c>
      <c r="B203" s="27">
        <f t="shared" si="6"/>
        <v>435.49396913298244</v>
      </c>
      <c r="C203" s="27">
        <f t="shared" si="7"/>
        <v>-4.5376090451965889E-2</v>
      </c>
      <c r="D203" s="27">
        <f t="shared" si="8"/>
        <v>2.3164572826222471</v>
      </c>
    </row>
    <row r="204" spans="1:4" x14ac:dyDescent="0.2">
      <c r="A204">
        <v>189</v>
      </c>
      <c r="B204" s="27">
        <f t="shared" si="6"/>
        <v>435.44657897755542</v>
      </c>
      <c r="C204" s="27">
        <f t="shared" si="7"/>
        <v>-4.9404220402049837E-2</v>
      </c>
      <c r="D204" s="27">
        <f t="shared" si="8"/>
        <v>2.303950153320399</v>
      </c>
    </row>
    <row r="205" spans="1:4" x14ac:dyDescent="0.2">
      <c r="A205">
        <v>190</v>
      </c>
      <c r="B205" s="27">
        <f t="shared" si="6"/>
        <v>435.39516069217837</v>
      </c>
      <c r="C205" s="27">
        <f t="shared" si="7"/>
        <v>-5.3432350352133673E-2</v>
      </c>
      <c r="D205" s="27">
        <f t="shared" si="8"/>
        <v>2.2915534773272546</v>
      </c>
    </row>
    <row r="206" spans="1:4" x14ac:dyDescent="0.2">
      <c r="A206">
        <v>191</v>
      </c>
      <c r="B206" s="27">
        <f t="shared" si="6"/>
        <v>435.33971427685117</v>
      </c>
      <c r="C206" s="27">
        <f t="shared" si="7"/>
        <v>-5.7460480302217509E-2</v>
      </c>
      <c r="D206" s="27">
        <f t="shared" si="8"/>
        <v>2.2792655197740901</v>
      </c>
    </row>
    <row r="207" spans="1:4" x14ac:dyDescent="0.2">
      <c r="A207">
        <v>192</v>
      </c>
      <c r="B207" s="27">
        <f t="shared" si="6"/>
        <v>435.28023973157389</v>
      </c>
      <c r="C207" s="27">
        <f t="shared" si="7"/>
        <v>-6.1488610252301346E-2</v>
      </c>
      <c r="D207" s="27">
        <f t="shared" si="8"/>
        <v>2.2670845819352805</v>
      </c>
    </row>
    <row r="208" spans="1:4" x14ac:dyDescent="0.2">
      <c r="A208">
        <v>193</v>
      </c>
      <c r="B208" s="27">
        <f t="shared" si="6"/>
        <v>435.21673705634657</v>
      </c>
      <c r="C208" s="27">
        <f t="shared" si="7"/>
        <v>-6.5516740202385182E-2</v>
      </c>
      <c r="D208" s="27">
        <f t="shared" si="8"/>
        <v>2.2550090002919512</v>
      </c>
    </row>
    <row r="209" spans="1:4" x14ac:dyDescent="0.2">
      <c r="A209">
        <v>194</v>
      </c>
      <c r="B209" s="27">
        <f t="shared" ref="B209:B215" si="9">$B$4+($B$5*A209)+($B$6*A209^2)+($B$7*$B$13)+($B$8*$B$13)+($B$9*$B$13*A209)+($B$10*$B$12)</f>
        <v>435.14920625116912</v>
      </c>
      <c r="C209" s="27">
        <f t="shared" ref="C209:C215" si="10">$B$5+(2*$B$6*A209)+($B$9*$B$13)</f>
        <v>-6.9544870152469018E-2</v>
      </c>
      <c r="D209" s="27">
        <f t="shared" ref="D209:D215" si="11">B209/A209</f>
        <v>2.2430371456245832</v>
      </c>
    </row>
    <row r="210" spans="1:4" x14ac:dyDescent="0.2">
      <c r="A210">
        <v>195</v>
      </c>
      <c r="B210" s="27">
        <f t="shared" si="9"/>
        <v>435.07764731604163</v>
      </c>
      <c r="C210" s="27">
        <f t="shared" si="10"/>
        <v>-7.3573000102552855E-2</v>
      </c>
      <c r="D210" s="27">
        <f t="shared" si="11"/>
        <v>2.2311674221335469</v>
      </c>
    </row>
    <row r="211" spans="1:4" x14ac:dyDescent="0.2">
      <c r="A211">
        <v>196</v>
      </c>
      <c r="B211" s="27">
        <f t="shared" si="9"/>
        <v>435.00206025096401</v>
      </c>
      <c r="C211" s="27">
        <f t="shared" si="10"/>
        <v>-7.7601130052636802E-2</v>
      </c>
      <c r="D211" s="27">
        <f t="shared" si="11"/>
        <v>2.219398266586551</v>
      </c>
    </row>
    <row r="212" spans="1:4" x14ac:dyDescent="0.2">
      <c r="A212">
        <v>197</v>
      </c>
      <c r="B212" s="27">
        <f t="shared" si="9"/>
        <v>434.92244505593635</v>
      </c>
      <c r="C212" s="27">
        <f t="shared" si="10"/>
        <v>-8.1629260002720638E-2</v>
      </c>
      <c r="D212" s="27">
        <f t="shared" si="11"/>
        <v>2.2077281474920625</v>
      </c>
    </row>
    <row r="213" spans="1:4" x14ac:dyDescent="0.2">
      <c r="A213">
        <v>198</v>
      </c>
      <c r="B213" s="27">
        <f t="shared" si="9"/>
        <v>434.83880173095855</v>
      </c>
      <c r="C213" s="27">
        <f t="shared" si="10"/>
        <v>-8.5657389952804475E-2</v>
      </c>
      <c r="D213" s="27">
        <f t="shared" si="11"/>
        <v>2.1961555642977704</v>
      </c>
    </row>
    <row r="214" spans="1:4" x14ac:dyDescent="0.2">
      <c r="A214">
        <v>199</v>
      </c>
      <c r="B214" s="27">
        <f t="shared" si="9"/>
        <v>434.75113027603072</v>
      </c>
      <c r="C214" s="27">
        <f t="shared" si="10"/>
        <v>-8.9685519902888311E-2</v>
      </c>
      <c r="D214" s="27">
        <f t="shared" si="11"/>
        <v>2.1846790466132195</v>
      </c>
    </row>
    <row r="215" spans="1:4" x14ac:dyDescent="0.2">
      <c r="A215">
        <v>200</v>
      </c>
      <c r="B215" s="27">
        <f t="shared" si="9"/>
        <v>434.65943069115281</v>
      </c>
      <c r="C215" s="27">
        <f t="shared" si="10"/>
        <v>-9.3713649852972147E-2</v>
      </c>
      <c r="D215" s="27">
        <f t="shared" si="11"/>
        <v>2.1732971534557639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Regression Results</vt:lpstr>
      <vt:lpstr>Optimize</vt:lpstr>
      <vt:lpstr>Production Stages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2020-03-23T14:44:57Z</dcterms:created>
  <dcterms:modified xsi:type="dcterms:W3CDTF">2020-03-23T20:06:40Z</dcterms:modified>
</cp:coreProperties>
</file>