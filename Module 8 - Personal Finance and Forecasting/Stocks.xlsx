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GoogleDrive/My Drive/Teaching/AGEC 317 Spring 2020/Module 8 - Personal Finance and Forecasting/"/>
    </mc:Choice>
  </mc:AlternateContent>
  <xr:revisionPtr revIDLastSave="0" documentId="13_ncr:40009_{50B8100D-77ED-BB41-9A2A-9D1259813274}" xr6:coauthVersionLast="45" xr6:coauthVersionMax="45" xr10:uidLastSave="{00000000-0000-0000-0000-000000000000}"/>
  <bookViews>
    <workbookView xWindow="0" yWindow="460" windowWidth="38400" windowHeight="22720"/>
  </bookViews>
  <sheets>
    <sheet name="Stocks" sheetId="1" r:id="rId1"/>
    <sheet name="Forecast" sheetId="4" r:id="rId2"/>
  </sheets>
  <definedNames>
    <definedName name="solver_adj" localSheetId="0" hidden="1">Stocks!$J$10:$K$10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itr" localSheetId="0" hidden="1">2147483647</definedName>
    <definedName name="solver_lhs1" localSheetId="0" hidden="1">Stocks!$L$10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opt" localSheetId="0" hidden="1">Stocks!$J$12</definedName>
    <definedName name="solver_pre" localSheetId="0" hidden="1">0.000001</definedName>
    <definedName name="solver_rbv" localSheetId="0" hidden="1">1</definedName>
    <definedName name="solver_rel1" localSheetId="0" hidden="1">2</definedName>
    <definedName name="solver_rhs1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16" i="1" l="1"/>
  <c r="L10" i="1"/>
  <c r="J12" i="1"/>
  <c r="J6" i="1"/>
  <c r="L4" i="1"/>
  <c r="K4" i="1"/>
  <c r="J4" i="1"/>
  <c r="L3" i="1"/>
  <c r="K3" i="1"/>
  <c r="J3" i="1"/>
  <c r="E4" i="1"/>
  <c r="E5" i="1" l="1"/>
  <c r="F5" i="1"/>
  <c r="G5" i="1"/>
  <c r="E6" i="1"/>
  <c r="F6" i="1"/>
  <c r="G6" i="1"/>
  <c r="E7" i="1"/>
  <c r="F7" i="1"/>
  <c r="G7" i="1"/>
  <c r="E8" i="1"/>
  <c r="F8" i="1"/>
  <c r="G8" i="1"/>
  <c r="E9" i="1"/>
  <c r="F9" i="1"/>
  <c r="G9" i="1"/>
  <c r="E10" i="1"/>
  <c r="F10" i="1"/>
  <c r="G10" i="1"/>
  <c r="E11" i="1"/>
  <c r="F11" i="1"/>
  <c r="G11" i="1"/>
  <c r="E12" i="1"/>
  <c r="F12" i="1"/>
  <c r="G12" i="1"/>
  <c r="E13" i="1"/>
  <c r="F13" i="1"/>
  <c r="G13" i="1"/>
  <c r="E14" i="1"/>
  <c r="F14" i="1"/>
  <c r="G14" i="1"/>
  <c r="E15" i="1"/>
  <c r="F15" i="1"/>
  <c r="G15" i="1"/>
  <c r="E16" i="1"/>
  <c r="F16" i="1"/>
  <c r="G16" i="1"/>
  <c r="E17" i="1"/>
  <c r="F17" i="1"/>
  <c r="G17" i="1"/>
  <c r="E18" i="1"/>
  <c r="F18" i="1"/>
  <c r="G18" i="1"/>
  <c r="E19" i="1"/>
  <c r="F19" i="1"/>
  <c r="G19" i="1"/>
  <c r="E20" i="1"/>
  <c r="F20" i="1"/>
  <c r="G20" i="1"/>
  <c r="E21" i="1"/>
  <c r="F21" i="1"/>
  <c r="G21" i="1"/>
  <c r="E22" i="1"/>
  <c r="F22" i="1"/>
  <c r="G22" i="1"/>
  <c r="E23" i="1"/>
  <c r="F23" i="1"/>
  <c r="G23" i="1"/>
  <c r="E24" i="1"/>
  <c r="F24" i="1"/>
  <c r="G24" i="1"/>
  <c r="E25" i="1"/>
  <c r="F25" i="1"/>
  <c r="G25" i="1"/>
  <c r="E26" i="1"/>
  <c r="F26" i="1"/>
  <c r="G26" i="1"/>
  <c r="E27" i="1"/>
  <c r="F27" i="1"/>
  <c r="G27" i="1"/>
  <c r="E28" i="1"/>
  <c r="F28" i="1"/>
  <c r="G28" i="1"/>
  <c r="E29" i="1"/>
  <c r="F29" i="1"/>
  <c r="G29" i="1"/>
  <c r="E30" i="1"/>
  <c r="F30" i="1"/>
  <c r="G30" i="1"/>
  <c r="E31" i="1"/>
  <c r="F31" i="1"/>
  <c r="G31" i="1"/>
  <c r="E32" i="1"/>
  <c r="F32" i="1"/>
  <c r="G32" i="1"/>
  <c r="E33" i="1"/>
  <c r="F33" i="1"/>
  <c r="G33" i="1"/>
  <c r="E34" i="1"/>
  <c r="F34" i="1"/>
  <c r="G34" i="1"/>
  <c r="E35" i="1"/>
  <c r="F35" i="1"/>
  <c r="G35" i="1"/>
  <c r="E36" i="1"/>
  <c r="F36" i="1"/>
  <c r="G36" i="1"/>
  <c r="E37" i="1"/>
  <c r="F37" i="1"/>
  <c r="G37" i="1"/>
  <c r="E38" i="1"/>
  <c r="F38" i="1"/>
  <c r="G38" i="1"/>
  <c r="E39" i="1"/>
  <c r="F39" i="1"/>
  <c r="G39" i="1"/>
  <c r="E40" i="1"/>
  <c r="F40" i="1"/>
  <c r="G40" i="1"/>
  <c r="E41" i="1"/>
  <c r="F41" i="1"/>
  <c r="G41" i="1"/>
  <c r="E42" i="1"/>
  <c r="F42" i="1"/>
  <c r="G42" i="1"/>
  <c r="E43" i="1"/>
  <c r="F43" i="1"/>
  <c r="G43" i="1"/>
  <c r="E44" i="1"/>
  <c r="F44" i="1"/>
  <c r="G44" i="1"/>
  <c r="E45" i="1"/>
  <c r="F45" i="1"/>
  <c r="G45" i="1"/>
  <c r="E46" i="1"/>
  <c r="F46" i="1"/>
  <c r="G46" i="1"/>
  <c r="E47" i="1"/>
  <c r="F47" i="1"/>
  <c r="G47" i="1"/>
  <c r="E48" i="1"/>
  <c r="F48" i="1"/>
  <c r="G48" i="1"/>
  <c r="E49" i="1"/>
  <c r="F49" i="1"/>
  <c r="G49" i="1"/>
  <c r="E50" i="1"/>
  <c r="F50" i="1"/>
  <c r="G50" i="1"/>
  <c r="E51" i="1"/>
  <c r="F51" i="1"/>
  <c r="G51" i="1"/>
  <c r="E52" i="1"/>
  <c r="F52" i="1"/>
  <c r="G52" i="1"/>
  <c r="E53" i="1"/>
  <c r="F53" i="1"/>
  <c r="G53" i="1"/>
  <c r="E54" i="1"/>
  <c r="F54" i="1"/>
  <c r="G54" i="1"/>
  <c r="E55" i="1"/>
  <c r="F55" i="1"/>
  <c r="G55" i="1"/>
  <c r="E56" i="1"/>
  <c r="F56" i="1"/>
  <c r="G56" i="1"/>
  <c r="E57" i="1"/>
  <c r="F57" i="1"/>
  <c r="G57" i="1"/>
  <c r="E58" i="1"/>
  <c r="F58" i="1"/>
  <c r="G58" i="1"/>
  <c r="E59" i="1"/>
  <c r="F59" i="1"/>
  <c r="G59" i="1"/>
  <c r="E60" i="1"/>
  <c r="F60" i="1"/>
  <c r="G60" i="1"/>
  <c r="E61" i="1"/>
  <c r="F61" i="1"/>
  <c r="G61" i="1"/>
  <c r="E62" i="1"/>
  <c r="F62" i="1"/>
  <c r="G62" i="1"/>
  <c r="G4" i="1"/>
  <c r="F4" i="1"/>
</calcChain>
</file>

<file path=xl/sharedStrings.xml><?xml version="1.0" encoding="utf-8"?>
<sst xmlns="http://schemas.openxmlformats.org/spreadsheetml/2006/main" count="92" uniqueCount="47">
  <si>
    <t>Date</t>
  </si>
  <si>
    <t>Close</t>
  </si>
  <si>
    <t>AAPL</t>
  </si>
  <si>
    <t>LUV</t>
  </si>
  <si>
    <t>S&amp;P500</t>
  </si>
  <si>
    <t>Returns</t>
  </si>
  <si>
    <t>Weight</t>
  </si>
  <si>
    <t>ER</t>
  </si>
  <si>
    <t>SD</t>
  </si>
  <si>
    <t>CorrAAPL_LUV</t>
  </si>
  <si>
    <t>CorrAAPL_S&amp;P</t>
  </si>
  <si>
    <t>CorrLUV_S&amp;P</t>
  </si>
  <si>
    <t>Beta AAPL</t>
  </si>
  <si>
    <t>Beta LUV</t>
  </si>
  <si>
    <t>Portfolio SD</t>
  </si>
  <si>
    <t>Beta Portfolio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</si>
  <si>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</si>
  <si>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</si>
  <si>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</si>
  <si>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</si>
  <si>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</si>
  <si>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</si>
  <si>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</si>
  <si>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</si>
  <si>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</si>
  <si>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</si>
  <si>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</si>
  <si>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</si>
  <si>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</si>
  <si>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</si>
  <si>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</si>
  <si>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</si>
  <si>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</si>
  <si>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</si>
  <si>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</si>
  <si>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</si>
  <si>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</si>
  <si>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</si>
  <si>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</si>
  <si>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</si>
  <si>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Linear Time Trend</t>
  </si>
  <si>
    <t>AutoRegressive</t>
  </si>
  <si>
    <t>t</t>
  </si>
  <si>
    <t>t-1</t>
  </si>
  <si>
    <t>t-2</t>
  </si>
  <si>
    <t>t-3</t>
  </si>
  <si>
    <t>Moving Average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</si>
</sst>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0" fillId="33" borderId="0" xfId="0" applyFill="1" applyAlignment="1">
      <alignment horizontal="center"/>
    </xf>
    <xf numFmtId="0" fontId="0" fillId="34" borderId="0" xfId="0" applyFill="1" applyAlignment="1">
      <alignment horizontal="center"/>
    </xf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0" fontId="18" fillId="0" borderId="11" xfId="0" applyFont="1" applyFill="1" applyBorder="1" applyAlignment="1">
      <alignment horizontal="centerContinuous"/>
    </xf>
    <xf numFmtId="0" fontId="0" fillId="33" borderId="0" xfId="0" applyFill="1" applyAlignment="1">
      <alignment horizontal="center"/>
    </xf>
    <xf numFmtId="0" fontId="0" fillId="35" borderId="0" xfId="0" applyFill="1"/>
    <xf numFmtId="0" fontId="0" fillId="36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2"/>
  <sheetViews>
    <sheetView tabSelected="1" zoomScale="180" zoomScaleNormal="180" workbookViewId="0"/>
  </sheetViews>
  <sheetFormatPr baseColWidth="10" defaultRowHeight="16"/>
  <cols>
    <col min="9" max="9" width="13" bestFit="1" customWidth="1"/>
  </cols>
  <sheetData>
    <row r="1" spans="1:12">
      <c r="B1" s="2" t="s">
        <v>1</v>
      </c>
      <c r="C1" s="2"/>
      <c r="D1" s="2"/>
      <c r="E1" s="3" t="s">
        <v>5</v>
      </c>
      <c r="F1" s="3"/>
      <c r="G1" s="3"/>
    </row>
    <row r="2" spans="1:12">
      <c r="A2" t="s">
        <v>0</v>
      </c>
      <c r="B2" t="s">
        <v>2</v>
      </c>
      <c r="C2" t="s">
        <v>3</v>
      </c>
      <c r="D2" t="s">
        <v>4</v>
      </c>
      <c r="E2" t="s">
        <v>2</v>
      </c>
      <c r="F2" t="s">
        <v>3</v>
      </c>
      <c r="G2" t="s">
        <v>4</v>
      </c>
      <c r="J2" t="s">
        <v>2</v>
      </c>
      <c r="K2" t="s">
        <v>3</v>
      </c>
      <c r="L2" t="s">
        <v>4</v>
      </c>
    </row>
    <row r="3" spans="1:12">
      <c r="A3" s="1">
        <v>42125</v>
      </c>
      <c r="B3">
        <v>130.279999</v>
      </c>
      <c r="C3">
        <v>37.049999</v>
      </c>
      <c r="D3">
        <v>2107.3898899999999</v>
      </c>
      <c r="E3" t="s">
        <v>2</v>
      </c>
      <c r="F3" t="s">
        <v>3</v>
      </c>
      <c r="G3" t="s">
        <v>4</v>
      </c>
      <c r="I3" t="s">
        <v>7</v>
      </c>
      <c r="J3">
        <f>AVERAGE(E4:E62)</f>
        <v>1.5342413128725049E-2</v>
      </c>
      <c r="K3">
        <f>AVERAGE(F4:F62)</f>
        <v>4.0769840770445761E-3</v>
      </c>
      <c r="L3">
        <f>AVERAGE(G4:G62)</f>
        <v>5.6079294569290998E-3</v>
      </c>
    </row>
    <row r="4" spans="1:12">
      <c r="A4" s="1">
        <v>42156</v>
      </c>
      <c r="B4">
        <v>125.43</v>
      </c>
      <c r="C4">
        <v>33.090000000000003</v>
      </c>
      <c r="D4">
        <v>2063.1101100000001</v>
      </c>
      <c r="E4">
        <f>(B4-B3)/B3</f>
        <v>-3.7227502588482494E-2</v>
      </c>
      <c r="F4">
        <f>(C4-C3)/C3</f>
        <v>-0.10688256698738363</v>
      </c>
      <c r="G4">
        <f>(D4-D3)/D3</f>
        <v>-2.1011669558687999E-2</v>
      </c>
      <c r="I4" t="s">
        <v>8</v>
      </c>
      <c r="J4">
        <f>STDEV(E4:E62)</f>
        <v>7.8437207815072824E-2</v>
      </c>
      <c r="K4">
        <f t="shared" ref="K4:L4" si="0">STDEV(F4:F62)</f>
        <v>9.3253508433956481E-2</v>
      </c>
      <c r="L4">
        <f t="shared" si="0"/>
        <v>4.0985315672348754E-2</v>
      </c>
    </row>
    <row r="5" spans="1:12">
      <c r="A5" s="1">
        <v>42186</v>
      </c>
      <c r="B5">
        <v>121.300003</v>
      </c>
      <c r="C5">
        <v>36.200001</v>
      </c>
      <c r="D5">
        <v>2103.8400900000001</v>
      </c>
      <c r="E5">
        <f t="shared" ref="E5:E62" si="1">(B5-B4)/B4</f>
        <v>-3.2926708124053281E-2</v>
      </c>
      <c r="F5">
        <f t="shared" ref="F5:F62" si="2">(C5-C4)/C4</f>
        <v>9.3986128739800445E-2</v>
      </c>
      <c r="G5">
        <f t="shared" ref="G5:G62" si="3">(D5-D4)/D4</f>
        <v>1.9742029183309109E-2</v>
      </c>
    </row>
    <row r="6" spans="1:12">
      <c r="A6" s="1">
        <v>42217</v>
      </c>
      <c r="B6">
        <v>112.91999800000001</v>
      </c>
      <c r="C6">
        <v>36.700001</v>
      </c>
      <c r="D6">
        <v>1972.1800499999999</v>
      </c>
      <c r="E6">
        <f t="shared" si="1"/>
        <v>-6.9084952949259176E-2</v>
      </c>
      <c r="F6">
        <f t="shared" si="2"/>
        <v>1.3812154314581373E-2</v>
      </c>
      <c r="G6">
        <f t="shared" si="3"/>
        <v>-6.2580820959638711E-2</v>
      </c>
      <c r="I6" t="s">
        <v>9</v>
      </c>
      <c r="J6">
        <f>CORREL(E4:E62,F4:F62)</f>
        <v>0.27895468399719703</v>
      </c>
    </row>
    <row r="7" spans="1:12">
      <c r="A7" s="1">
        <v>42248</v>
      </c>
      <c r="B7">
        <v>110.300003</v>
      </c>
      <c r="C7">
        <v>38.040000999999997</v>
      </c>
      <c r="D7">
        <v>1920.0300299999999</v>
      </c>
      <c r="E7">
        <f t="shared" si="1"/>
        <v>-2.320222322356048E-2</v>
      </c>
      <c r="F7">
        <f t="shared" si="2"/>
        <v>3.6512260585496885E-2</v>
      </c>
      <c r="G7">
        <f t="shared" si="3"/>
        <v>-2.6442829091593359E-2</v>
      </c>
      <c r="I7" t="s">
        <v>10</v>
      </c>
    </row>
    <row r="8" spans="1:12">
      <c r="A8" s="1">
        <v>42278</v>
      </c>
      <c r="B8">
        <v>119.5</v>
      </c>
      <c r="C8">
        <v>46.290000999999997</v>
      </c>
      <c r="D8">
        <v>2079.3601100000001</v>
      </c>
      <c r="E8">
        <f t="shared" si="1"/>
        <v>8.3408855392324843E-2</v>
      </c>
      <c r="F8">
        <f t="shared" si="2"/>
        <v>0.2168769659075456</v>
      </c>
      <c r="G8">
        <f t="shared" si="3"/>
        <v>8.2983118758824928E-2</v>
      </c>
      <c r="I8" t="s">
        <v>11</v>
      </c>
    </row>
    <row r="9" spans="1:12">
      <c r="A9" s="1">
        <v>42309</v>
      </c>
      <c r="B9">
        <v>118.300003</v>
      </c>
      <c r="C9">
        <v>45.880001</v>
      </c>
      <c r="D9">
        <v>2080.4099099999999</v>
      </c>
      <c r="E9">
        <f t="shared" si="1"/>
        <v>-1.0041815899581558E-2</v>
      </c>
      <c r="F9">
        <f t="shared" si="2"/>
        <v>-8.8572043884811453E-3</v>
      </c>
      <c r="G9">
        <f t="shared" si="3"/>
        <v>5.0486685540956022E-4</v>
      </c>
    </row>
    <row r="10" spans="1:12">
      <c r="A10" s="1">
        <v>42339</v>
      </c>
      <c r="B10">
        <v>105.260002</v>
      </c>
      <c r="C10">
        <v>43.060001</v>
      </c>
      <c r="D10">
        <v>2043.93994</v>
      </c>
      <c r="E10">
        <f t="shared" si="1"/>
        <v>-0.11022823896293564</v>
      </c>
      <c r="F10">
        <f t="shared" si="2"/>
        <v>-6.1464689157264843E-2</v>
      </c>
      <c r="G10">
        <f t="shared" si="3"/>
        <v>-1.7530184712492489E-2</v>
      </c>
      <c r="I10" t="s">
        <v>6</v>
      </c>
      <c r="J10">
        <v>0.5</v>
      </c>
      <c r="K10">
        <v>0.5</v>
      </c>
      <c r="L10">
        <f>SUM(J10:K10)</f>
        <v>1</v>
      </c>
    </row>
    <row r="11" spans="1:12">
      <c r="A11" s="1">
        <v>42370</v>
      </c>
      <c r="B11">
        <v>97.339995999999999</v>
      </c>
      <c r="C11">
        <v>37.619999</v>
      </c>
      <c r="D11">
        <v>1940.23999</v>
      </c>
      <c r="E11">
        <f t="shared" si="1"/>
        <v>-7.524231283978125E-2</v>
      </c>
      <c r="F11">
        <f t="shared" si="2"/>
        <v>-0.12633538954167697</v>
      </c>
      <c r="G11">
        <f t="shared" si="3"/>
        <v>-5.0735321508517492E-2</v>
      </c>
    </row>
    <row r="12" spans="1:12">
      <c r="A12" s="1">
        <v>42401</v>
      </c>
      <c r="B12">
        <v>96.690002000000007</v>
      </c>
      <c r="C12">
        <v>41.950001</v>
      </c>
      <c r="D12">
        <v>1932.2299800000001</v>
      </c>
      <c r="E12">
        <f t="shared" si="1"/>
        <v>-6.6775634550056114E-3</v>
      </c>
      <c r="F12">
        <f t="shared" si="2"/>
        <v>0.11509840816316876</v>
      </c>
      <c r="G12">
        <f t="shared" si="3"/>
        <v>-4.1283604302991229E-3</v>
      </c>
      <c r="I12" t="s">
        <v>14</v>
      </c>
      <c r="J12">
        <f>SQRT(J10^2*J4^2+K10^2*K4^2+2*J10*K10*J4*K4*J6)</f>
        <v>6.8792197019446319E-2</v>
      </c>
    </row>
    <row r="13" spans="1:12">
      <c r="A13" s="1">
        <v>42430</v>
      </c>
      <c r="B13">
        <v>108.989998</v>
      </c>
      <c r="C13">
        <v>44.799999</v>
      </c>
      <c r="D13">
        <v>2059.73999</v>
      </c>
      <c r="E13">
        <f t="shared" si="1"/>
        <v>0.12721062928512497</v>
      </c>
      <c r="F13">
        <f t="shared" si="2"/>
        <v>6.7937972158808757E-2</v>
      </c>
      <c r="G13">
        <f t="shared" si="3"/>
        <v>6.5991114577365145E-2</v>
      </c>
    </row>
    <row r="14" spans="1:12" ht="17" thickBot="1">
      <c r="A14" s="1">
        <v>42461</v>
      </c>
      <c r="B14">
        <v>93.739998</v>
      </c>
      <c r="C14">
        <v>44.610000999999997</v>
      </c>
      <c r="D14">
        <v>2065.3000499999998</v>
      </c>
      <c r="E14">
        <f t="shared" si="1"/>
        <v>-0.13992109624591423</v>
      </c>
      <c r="F14">
        <f t="shared" si="2"/>
        <v>-4.2410268803801266E-3</v>
      </c>
      <c r="G14">
        <f t="shared" si="3"/>
        <v>2.6993989663713787E-3</v>
      </c>
      <c r="I14" t="s">
        <v>12</v>
      </c>
      <c r="J14" s="5">
        <v>1.1236810116966662</v>
      </c>
    </row>
    <row r="15" spans="1:12" ht="17" thickBot="1">
      <c r="A15" s="1">
        <v>42491</v>
      </c>
      <c r="B15">
        <v>99.860000999999997</v>
      </c>
      <c r="C15">
        <v>42.48</v>
      </c>
      <c r="D15">
        <v>2096.9499500000002</v>
      </c>
      <c r="E15">
        <f t="shared" si="1"/>
        <v>6.5286997339172093E-2</v>
      </c>
      <c r="F15">
        <f t="shared" si="2"/>
        <v>-4.7747163242610108E-2</v>
      </c>
      <c r="G15">
        <f t="shared" si="3"/>
        <v>1.5324601381770338E-2</v>
      </c>
      <c r="I15" t="s">
        <v>13</v>
      </c>
      <c r="J15" s="5">
        <v>1.5471682981671615</v>
      </c>
    </row>
    <row r="16" spans="1:12">
      <c r="A16" s="1">
        <v>42522</v>
      </c>
      <c r="B16">
        <v>95.599997999999999</v>
      </c>
      <c r="C16">
        <v>39.209999000000003</v>
      </c>
      <c r="D16">
        <v>2098.8601100000001</v>
      </c>
      <c r="E16">
        <f t="shared" si="1"/>
        <v>-4.2659753227921537E-2</v>
      </c>
      <c r="F16">
        <f t="shared" si="2"/>
        <v>-7.6977424670433003E-2</v>
      </c>
      <c r="G16">
        <f t="shared" si="3"/>
        <v>9.1092302894492318E-4</v>
      </c>
      <c r="I16" t="s">
        <v>15</v>
      </c>
      <c r="J16">
        <f>J14*J10+J15*K10</f>
        <v>1.3354246549319138</v>
      </c>
    </row>
    <row r="17" spans="1:14">
      <c r="A17" s="1">
        <v>42552</v>
      </c>
      <c r="B17">
        <v>104.209999</v>
      </c>
      <c r="C17">
        <v>37.009998000000003</v>
      </c>
      <c r="D17">
        <v>2173.6001000000001</v>
      </c>
      <c r="E17">
        <f t="shared" si="1"/>
        <v>9.0062773850685618E-2</v>
      </c>
      <c r="F17">
        <f t="shared" si="2"/>
        <v>-5.610816261433723E-2</v>
      </c>
      <c r="G17">
        <f t="shared" si="3"/>
        <v>3.5609800597906464E-2</v>
      </c>
    </row>
    <row r="18" spans="1:14">
      <c r="A18" s="1">
        <v>42583</v>
      </c>
      <c r="B18">
        <v>106.099998</v>
      </c>
      <c r="C18">
        <v>36.880001</v>
      </c>
      <c r="D18">
        <v>2170.9499500000002</v>
      </c>
      <c r="E18">
        <f t="shared" si="1"/>
        <v>1.8136445812651846E-2</v>
      </c>
      <c r="F18">
        <f t="shared" si="2"/>
        <v>-3.5124833024849939E-3</v>
      </c>
      <c r="G18">
        <f t="shared" si="3"/>
        <v>-1.2192445151249026E-3</v>
      </c>
    </row>
    <row r="19" spans="1:14">
      <c r="A19" s="1">
        <v>42614</v>
      </c>
      <c r="B19">
        <v>113.050003</v>
      </c>
      <c r="C19">
        <v>38.889999000000003</v>
      </c>
      <c r="D19">
        <v>2168.2700199999999</v>
      </c>
      <c r="E19">
        <f t="shared" si="1"/>
        <v>6.5504289641928212E-2</v>
      </c>
      <c r="F19">
        <f t="shared" si="2"/>
        <v>5.4501028890970013E-2</v>
      </c>
      <c r="G19">
        <f t="shared" si="3"/>
        <v>-1.2344503842662241E-3</v>
      </c>
    </row>
    <row r="20" spans="1:14">
      <c r="A20" s="1">
        <v>42644</v>
      </c>
      <c r="B20">
        <v>113.540001</v>
      </c>
      <c r="C20">
        <v>40.049999</v>
      </c>
      <c r="D20">
        <v>2126.1498999999999</v>
      </c>
      <c r="E20">
        <f t="shared" si="1"/>
        <v>4.3343475187700787E-3</v>
      </c>
      <c r="F20">
        <f t="shared" si="2"/>
        <v>2.982771997499914E-2</v>
      </c>
      <c r="G20">
        <f t="shared" si="3"/>
        <v>-1.9425680201951991E-2</v>
      </c>
      <c r="I20" t="s">
        <v>16</v>
      </c>
    </row>
    <row r="21" spans="1:14" ht="17" thickBot="1">
      <c r="A21" s="1">
        <v>42675</v>
      </c>
      <c r="B21">
        <v>110.519997</v>
      </c>
      <c r="C21">
        <v>46.610000999999997</v>
      </c>
      <c r="D21">
        <v>2198.8100599999998</v>
      </c>
      <c r="E21">
        <f t="shared" si="1"/>
        <v>-2.6598590570736387E-2</v>
      </c>
      <c r="F21">
        <f t="shared" si="2"/>
        <v>0.16379530995743588</v>
      </c>
      <c r="G21">
        <f t="shared" si="3"/>
        <v>3.4174523630718566E-2</v>
      </c>
    </row>
    <row r="22" spans="1:14">
      <c r="A22" s="1">
        <v>42705</v>
      </c>
      <c r="B22">
        <v>115.82</v>
      </c>
      <c r="C22">
        <v>49.84</v>
      </c>
      <c r="D22">
        <v>2238.8300800000002</v>
      </c>
      <c r="E22">
        <f t="shared" si="1"/>
        <v>4.7955149691145844E-2</v>
      </c>
      <c r="F22">
        <f t="shared" si="2"/>
        <v>6.9298410871091953E-2</v>
      </c>
      <c r="G22">
        <f t="shared" si="3"/>
        <v>1.8200762643409221E-2</v>
      </c>
      <c r="I22" s="7" t="s">
        <v>17</v>
      </c>
      <c r="J22" s="7"/>
    </row>
    <row r="23" spans="1:14">
      <c r="A23" s="1">
        <v>42736</v>
      </c>
      <c r="B23">
        <v>121.349998</v>
      </c>
      <c r="C23">
        <v>52.310001</v>
      </c>
      <c r="D23">
        <v>2278.87012</v>
      </c>
      <c r="E23">
        <f t="shared" si="1"/>
        <v>4.7746485926437633E-2</v>
      </c>
      <c r="F23">
        <f t="shared" si="2"/>
        <v>4.9558607544141174E-2</v>
      </c>
      <c r="G23">
        <f t="shared" si="3"/>
        <v>1.7884358602149861E-2</v>
      </c>
      <c r="I23" s="4" t="s">
        <v>18</v>
      </c>
      <c r="J23" s="4">
        <v>0.5871501837239298</v>
      </c>
    </row>
    <row r="24" spans="1:14">
      <c r="A24" s="1">
        <v>42767</v>
      </c>
      <c r="B24">
        <v>136.990005</v>
      </c>
      <c r="C24">
        <v>57.799999</v>
      </c>
      <c r="D24">
        <v>2363.6398899999999</v>
      </c>
      <c r="E24">
        <f t="shared" si="1"/>
        <v>0.12888345494657524</v>
      </c>
      <c r="F24">
        <f t="shared" si="2"/>
        <v>0.10495121191070136</v>
      </c>
      <c r="G24">
        <f t="shared" si="3"/>
        <v>3.719815765542614E-2</v>
      </c>
      <c r="I24" s="4" t="s">
        <v>19</v>
      </c>
      <c r="J24" s="4">
        <v>0.34474533824704445</v>
      </c>
    </row>
    <row r="25" spans="1:14">
      <c r="A25" s="1">
        <v>42795</v>
      </c>
      <c r="B25">
        <v>143.66000399999999</v>
      </c>
      <c r="C25">
        <v>53.759998000000003</v>
      </c>
      <c r="D25">
        <v>2362.7199700000001</v>
      </c>
      <c r="E25">
        <f t="shared" si="1"/>
        <v>4.8689676301566599E-2</v>
      </c>
      <c r="F25">
        <f t="shared" si="2"/>
        <v>-6.9896212281941331E-2</v>
      </c>
      <c r="G25">
        <f t="shared" si="3"/>
        <v>-3.891963424258422E-4</v>
      </c>
      <c r="I25" s="4" t="s">
        <v>20</v>
      </c>
      <c r="J25" s="4">
        <v>0.33324964242681721</v>
      </c>
    </row>
    <row r="26" spans="1:14">
      <c r="A26" s="1">
        <v>42826</v>
      </c>
      <c r="B26">
        <v>143.64999399999999</v>
      </c>
      <c r="C26">
        <v>56.220001000000003</v>
      </c>
      <c r="D26">
        <v>2384.1999500000002</v>
      </c>
      <c r="E26">
        <f t="shared" si="1"/>
        <v>-6.9678405410555881E-5</v>
      </c>
      <c r="F26">
        <f t="shared" si="2"/>
        <v>4.5758986077343237E-2</v>
      </c>
      <c r="G26">
        <f t="shared" si="3"/>
        <v>9.09120855316598E-3</v>
      </c>
      <c r="I26" s="4" t="s">
        <v>21</v>
      </c>
      <c r="J26" s="4">
        <v>6.4047731779606626E-2</v>
      </c>
    </row>
    <row r="27" spans="1:14" ht="17" thickBot="1">
      <c r="A27" s="1">
        <v>42856</v>
      </c>
      <c r="B27">
        <v>152.759995</v>
      </c>
      <c r="C27">
        <v>60.09</v>
      </c>
      <c r="D27">
        <v>2411.8000499999998</v>
      </c>
      <c r="E27">
        <f t="shared" si="1"/>
        <v>6.3418039544088048E-2</v>
      </c>
      <c r="F27">
        <f t="shared" si="2"/>
        <v>6.8836693901873108E-2</v>
      </c>
      <c r="G27">
        <f t="shared" si="3"/>
        <v>1.157625223505254E-2</v>
      </c>
      <c r="I27" s="5" t="s">
        <v>22</v>
      </c>
      <c r="J27" s="5">
        <v>59</v>
      </c>
    </row>
    <row r="28" spans="1:14">
      <c r="A28" s="1">
        <v>42887</v>
      </c>
      <c r="B28">
        <v>144.020004</v>
      </c>
      <c r="C28">
        <v>62.139999000000003</v>
      </c>
      <c r="D28">
        <v>2423.4099099999999</v>
      </c>
      <c r="E28">
        <f t="shared" si="1"/>
        <v>-5.7213873304984092E-2</v>
      </c>
      <c r="F28">
        <f t="shared" si="2"/>
        <v>3.4115476784822761E-2</v>
      </c>
      <c r="G28">
        <f t="shared" si="3"/>
        <v>4.8137738449752611E-3</v>
      </c>
    </row>
    <row r="29" spans="1:14" ht="17" thickBot="1">
      <c r="A29" s="1">
        <v>42917</v>
      </c>
      <c r="B29">
        <v>148.729996</v>
      </c>
      <c r="C29">
        <v>55.509998000000003</v>
      </c>
      <c r="D29">
        <v>2470.3000499999998</v>
      </c>
      <c r="E29">
        <f t="shared" si="1"/>
        <v>3.2703734683967929E-2</v>
      </c>
      <c r="F29">
        <f t="shared" si="2"/>
        <v>-0.10669457847915317</v>
      </c>
      <c r="G29">
        <f t="shared" si="3"/>
        <v>1.9348827371924043E-2</v>
      </c>
      <c r="I29" t="s">
        <v>23</v>
      </c>
    </row>
    <row r="30" spans="1:14">
      <c r="A30" s="1">
        <v>42948</v>
      </c>
      <c r="B30">
        <v>164</v>
      </c>
      <c r="C30">
        <v>52.139999000000003</v>
      </c>
      <c r="D30">
        <v>2471.6498999999999</v>
      </c>
      <c r="E30">
        <f t="shared" si="1"/>
        <v>0.10266929611159271</v>
      </c>
      <c r="F30">
        <f t="shared" si="2"/>
        <v>-6.0709766193830519E-2</v>
      </c>
      <c r="G30">
        <f t="shared" si="3"/>
        <v>5.4643159643706456E-4</v>
      </c>
      <c r="I30" s="6"/>
      <c r="J30" s="6" t="s">
        <v>28</v>
      </c>
      <c r="K30" s="6" t="s">
        <v>29</v>
      </c>
      <c r="L30" s="6" t="s">
        <v>30</v>
      </c>
      <c r="M30" s="6" t="s">
        <v>31</v>
      </c>
      <c r="N30" s="6" t="s">
        <v>32</v>
      </c>
    </row>
    <row r="31" spans="1:14">
      <c r="A31" s="1">
        <v>42979</v>
      </c>
      <c r="B31">
        <v>154.11999499999999</v>
      </c>
      <c r="C31">
        <v>55.98</v>
      </c>
      <c r="D31">
        <v>2519.3601100000001</v>
      </c>
      <c r="E31">
        <f t="shared" si="1"/>
        <v>-6.0243932926829336E-2</v>
      </c>
      <c r="F31">
        <f t="shared" si="2"/>
        <v>7.3647891707861249E-2</v>
      </c>
      <c r="G31">
        <f t="shared" si="3"/>
        <v>1.930298057180355E-2</v>
      </c>
      <c r="I31" s="4" t="s">
        <v>24</v>
      </c>
      <c r="J31" s="4">
        <v>1</v>
      </c>
      <c r="K31" s="4">
        <v>0.1230185621214368</v>
      </c>
      <c r="L31" s="4">
        <v>0.1230185621214368</v>
      </c>
      <c r="M31" s="4">
        <v>29.989079707593401</v>
      </c>
      <c r="N31" s="4">
        <v>1.018580486750097E-6</v>
      </c>
    </row>
    <row r="32" spans="1:14">
      <c r="A32" s="1">
        <v>43009</v>
      </c>
      <c r="B32">
        <v>169.03999300000001</v>
      </c>
      <c r="C32">
        <v>53.860000999999997</v>
      </c>
      <c r="D32">
        <v>2575.26001</v>
      </c>
      <c r="E32">
        <f t="shared" si="1"/>
        <v>9.6807672489218691E-2</v>
      </c>
      <c r="F32">
        <f t="shared" si="2"/>
        <v>-3.78706502322258E-2</v>
      </c>
      <c r="G32">
        <f t="shared" si="3"/>
        <v>2.2188134113149821E-2</v>
      </c>
      <c r="I32" s="4" t="s">
        <v>25</v>
      </c>
      <c r="J32" s="4">
        <v>57</v>
      </c>
      <c r="K32" s="4">
        <v>0.23382038092840862</v>
      </c>
      <c r="L32" s="4">
        <v>4.1021119461124318E-3</v>
      </c>
      <c r="M32" s="4"/>
      <c r="N32" s="4"/>
    </row>
    <row r="33" spans="1:17" ht="17" thickBot="1">
      <c r="A33" s="1">
        <v>43040</v>
      </c>
      <c r="B33">
        <v>171.85000600000001</v>
      </c>
      <c r="C33">
        <v>60.669998</v>
      </c>
      <c r="D33">
        <v>2584.8400900000001</v>
      </c>
      <c r="E33">
        <f t="shared" si="1"/>
        <v>1.6623362022974042E-2</v>
      </c>
      <c r="F33">
        <f t="shared" si="2"/>
        <v>0.12643885765988017</v>
      </c>
      <c r="G33">
        <f t="shared" si="3"/>
        <v>3.7200437869573332E-3</v>
      </c>
      <c r="I33" s="5" t="s">
        <v>26</v>
      </c>
      <c r="J33" s="5">
        <v>58</v>
      </c>
      <c r="K33" s="5">
        <v>0.35683894304984543</v>
      </c>
      <c r="L33" s="5"/>
      <c r="M33" s="5"/>
      <c r="N33" s="5"/>
    </row>
    <row r="34" spans="1:17" ht="17" thickBot="1">
      <c r="A34" s="1">
        <v>43070</v>
      </c>
      <c r="B34">
        <v>169.229996</v>
      </c>
      <c r="C34">
        <v>65.449996999999996</v>
      </c>
      <c r="D34">
        <v>2673.6101100000001</v>
      </c>
      <c r="E34">
        <f t="shared" si="1"/>
        <v>-1.5245911600375549E-2</v>
      </c>
      <c r="F34">
        <f t="shared" si="2"/>
        <v>7.878686595638254E-2</v>
      </c>
      <c r="G34">
        <f t="shared" si="3"/>
        <v>3.4342557724721737E-2</v>
      </c>
    </row>
    <row r="35" spans="1:17">
      <c r="A35" s="1">
        <v>43101</v>
      </c>
      <c r="B35">
        <v>167.429993</v>
      </c>
      <c r="C35">
        <v>60.799999</v>
      </c>
      <c r="D35">
        <v>2823.8100599999998</v>
      </c>
      <c r="E35">
        <f t="shared" si="1"/>
        <v>-1.0636429962451833E-2</v>
      </c>
      <c r="F35">
        <f t="shared" si="2"/>
        <v>-7.104657315721491E-2</v>
      </c>
      <c r="G35">
        <f t="shared" si="3"/>
        <v>5.6178703633043829E-2</v>
      </c>
      <c r="I35" s="6"/>
      <c r="J35" s="6" t="s">
        <v>33</v>
      </c>
      <c r="K35" s="6" t="s">
        <v>21</v>
      </c>
      <c r="L35" s="6" t="s">
        <v>34</v>
      </c>
      <c r="M35" s="6" t="s">
        <v>35</v>
      </c>
      <c r="N35" s="6" t="s">
        <v>36</v>
      </c>
      <c r="O35" s="6" t="s">
        <v>37</v>
      </c>
      <c r="P35" s="6" t="s">
        <v>38</v>
      </c>
      <c r="Q35" s="6" t="s">
        <v>39</v>
      </c>
    </row>
    <row r="36" spans="1:17">
      <c r="A36" s="1">
        <v>43132</v>
      </c>
      <c r="B36">
        <v>178.11999499999999</v>
      </c>
      <c r="C36">
        <v>57.84</v>
      </c>
      <c r="D36">
        <v>2713.8300800000002</v>
      </c>
      <c r="E36">
        <f t="shared" si="1"/>
        <v>6.3847592707000786E-2</v>
      </c>
      <c r="F36">
        <f t="shared" si="2"/>
        <v>-4.8684194879674195E-2</v>
      </c>
      <c r="G36">
        <f t="shared" si="3"/>
        <v>-3.8947371693972797E-2</v>
      </c>
      <c r="I36" s="4" t="s">
        <v>27</v>
      </c>
      <c r="J36" s="4">
        <v>9.0408892830394216E-3</v>
      </c>
      <c r="K36" s="4">
        <v>8.4173299333272274E-3</v>
      </c>
      <c r="L36" s="4">
        <v>1.0740804215411943</v>
      </c>
      <c r="M36" s="4">
        <v>0.28731258810273269</v>
      </c>
      <c r="N36" s="4">
        <v>-7.8145231679046211E-3</v>
      </c>
      <c r="O36" s="4">
        <v>2.5896301733983464E-2</v>
      </c>
      <c r="P36" s="4">
        <v>-7.8145231679046211E-3</v>
      </c>
      <c r="Q36" s="4">
        <v>2.5896301733983464E-2</v>
      </c>
    </row>
    <row r="37" spans="1:17" ht="17" thickBot="1">
      <c r="A37" s="1">
        <v>43160</v>
      </c>
      <c r="B37">
        <v>167.779999</v>
      </c>
      <c r="C37">
        <v>57.279998999999997</v>
      </c>
      <c r="D37">
        <v>2640.87012</v>
      </c>
      <c r="E37">
        <f t="shared" si="1"/>
        <v>-5.8050731474588162E-2</v>
      </c>
      <c r="F37">
        <f t="shared" si="2"/>
        <v>-9.6818983402490802E-3</v>
      </c>
      <c r="G37">
        <f t="shared" si="3"/>
        <v>-2.6884498236529285E-2</v>
      </c>
      <c r="I37" s="5" t="s">
        <v>4</v>
      </c>
      <c r="J37" s="5">
        <v>1.1236810116966662</v>
      </c>
      <c r="K37" s="5">
        <v>0.20519249528216429</v>
      </c>
      <c r="L37" s="5">
        <v>5.4762286025688711</v>
      </c>
      <c r="M37" s="5">
        <v>1.018580486750086E-6</v>
      </c>
      <c r="N37" s="5">
        <v>0.71279012738839942</v>
      </c>
      <c r="O37" s="5">
        <v>1.534571896004933</v>
      </c>
      <c r="P37" s="5">
        <v>0.71279012738839942</v>
      </c>
      <c r="Q37" s="5">
        <v>1.534571896004933</v>
      </c>
    </row>
    <row r="38" spans="1:17">
      <c r="A38" s="1">
        <v>43191</v>
      </c>
      <c r="B38">
        <v>165.259995</v>
      </c>
      <c r="C38">
        <v>52.830002</v>
      </c>
      <c r="D38">
        <v>2648.0500499999998</v>
      </c>
      <c r="E38">
        <f t="shared" si="1"/>
        <v>-1.5019692543924738E-2</v>
      </c>
      <c r="F38">
        <f t="shared" si="2"/>
        <v>-7.7688496468025364E-2</v>
      </c>
      <c r="G38">
        <f t="shared" si="3"/>
        <v>2.7187743712287472E-3</v>
      </c>
    </row>
    <row r="39" spans="1:17">
      <c r="A39" s="1">
        <v>43221</v>
      </c>
      <c r="B39">
        <v>186.86999499999999</v>
      </c>
      <c r="C39">
        <v>51.080002</v>
      </c>
      <c r="D39">
        <v>2705.2700199999999</v>
      </c>
      <c r="E39">
        <f t="shared" si="1"/>
        <v>0.1307636491214948</v>
      </c>
      <c r="F39">
        <f t="shared" si="2"/>
        <v>-3.3125117049967179E-2</v>
      </c>
      <c r="G39">
        <f t="shared" si="3"/>
        <v>2.1608341579495489E-2</v>
      </c>
    </row>
    <row r="40" spans="1:17">
      <c r="A40" s="1">
        <v>43252</v>
      </c>
      <c r="B40">
        <v>185.11000100000001</v>
      </c>
      <c r="C40">
        <v>50.880001</v>
      </c>
      <c r="D40">
        <v>2718.37012</v>
      </c>
      <c r="E40">
        <f t="shared" si="1"/>
        <v>-9.4182803397622923E-3</v>
      </c>
      <c r="F40">
        <f t="shared" si="2"/>
        <v>-3.9154462053466697E-3</v>
      </c>
      <c r="G40">
        <f t="shared" si="3"/>
        <v>4.8424371331332429E-3</v>
      </c>
      <c r="I40" t="s">
        <v>16</v>
      </c>
    </row>
    <row r="41" spans="1:17" ht="17" thickBot="1">
      <c r="A41" s="1">
        <v>43282</v>
      </c>
      <c r="B41">
        <v>190.28999300000001</v>
      </c>
      <c r="C41">
        <v>58.16</v>
      </c>
      <c r="D41">
        <v>2816.2900399999999</v>
      </c>
      <c r="E41">
        <f t="shared" si="1"/>
        <v>2.7983317875947707E-2</v>
      </c>
      <c r="F41">
        <f t="shared" si="2"/>
        <v>0.14308173854006009</v>
      </c>
      <c r="G41">
        <f t="shared" si="3"/>
        <v>3.6021555445878657E-2</v>
      </c>
    </row>
    <row r="42" spans="1:17">
      <c r="A42" s="1">
        <v>43313</v>
      </c>
      <c r="B42">
        <v>227.63000500000001</v>
      </c>
      <c r="C42">
        <v>61.299999</v>
      </c>
      <c r="D42">
        <v>2901.5200199999999</v>
      </c>
      <c r="E42">
        <f t="shared" si="1"/>
        <v>0.19622688198848165</v>
      </c>
      <c r="F42">
        <f t="shared" si="2"/>
        <v>5.3988978679504869E-2</v>
      </c>
      <c r="G42">
        <f t="shared" si="3"/>
        <v>3.0263211100231734E-2</v>
      </c>
      <c r="I42" s="7" t="s">
        <v>17</v>
      </c>
      <c r="J42" s="7"/>
    </row>
    <row r="43" spans="1:17">
      <c r="A43" s="1">
        <v>43344</v>
      </c>
      <c r="B43">
        <v>225.740005</v>
      </c>
      <c r="C43">
        <v>62.450001</v>
      </c>
      <c r="D43">
        <v>2913.9799800000001</v>
      </c>
      <c r="E43">
        <f t="shared" si="1"/>
        <v>-8.302947583733589E-3</v>
      </c>
      <c r="F43">
        <f t="shared" si="2"/>
        <v>1.8760228691031472E-2</v>
      </c>
      <c r="G43">
        <f t="shared" si="3"/>
        <v>4.2942871026614999E-3</v>
      </c>
      <c r="I43" s="4" t="s">
        <v>18</v>
      </c>
      <c r="J43" s="4">
        <v>0.67998708213257719</v>
      </c>
    </row>
    <row r="44" spans="1:17">
      <c r="A44" s="1">
        <v>43374</v>
      </c>
      <c r="B44">
        <v>218.86000100000001</v>
      </c>
      <c r="C44">
        <v>49.099997999999999</v>
      </c>
      <c r="D44">
        <v>2711.73999</v>
      </c>
      <c r="E44">
        <f t="shared" si="1"/>
        <v>-3.0477557577798343E-2</v>
      </c>
      <c r="F44">
        <f t="shared" si="2"/>
        <v>-0.21377106142880609</v>
      </c>
      <c r="G44">
        <f t="shared" si="3"/>
        <v>-6.9403356024429527E-2</v>
      </c>
      <c r="I44" s="4" t="s">
        <v>19</v>
      </c>
      <c r="J44" s="4">
        <v>0.46238243186717626</v>
      </c>
    </row>
    <row r="45" spans="1:17">
      <c r="A45" s="1">
        <v>43405</v>
      </c>
      <c r="B45">
        <v>178.58000200000001</v>
      </c>
      <c r="C45">
        <v>54.610000999999997</v>
      </c>
      <c r="D45">
        <v>2760.1699199999998</v>
      </c>
      <c r="E45">
        <f t="shared" si="1"/>
        <v>-0.18404458930802986</v>
      </c>
      <c r="F45">
        <f t="shared" si="2"/>
        <v>0.11222002493767917</v>
      </c>
      <c r="G45">
        <f t="shared" si="3"/>
        <v>1.785935605131515E-2</v>
      </c>
      <c r="I45" s="4" t="s">
        <v>20</v>
      </c>
      <c r="J45" s="4">
        <v>0.45295054470695123</v>
      </c>
    </row>
    <row r="46" spans="1:17">
      <c r="A46" s="1">
        <v>43435</v>
      </c>
      <c r="B46">
        <v>157.740005</v>
      </c>
      <c r="C46">
        <v>46.48</v>
      </c>
      <c r="D46">
        <v>2506.8501000000001</v>
      </c>
      <c r="E46">
        <f t="shared" si="1"/>
        <v>-0.1166983803707204</v>
      </c>
      <c r="F46">
        <f t="shared" si="2"/>
        <v>-0.14887384821692276</v>
      </c>
      <c r="G46">
        <f t="shared" si="3"/>
        <v>-9.1776893213878566E-2</v>
      </c>
      <c r="I46" s="4" t="s">
        <v>21</v>
      </c>
      <c r="J46" s="4">
        <v>6.8972898176235656E-2</v>
      </c>
    </row>
    <row r="47" spans="1:17" ht="17" thickBot="1">
      <c r="A47" s="1">
        <v>43466</v>
      </c>
      <c r="B47">
        <v>166.44000199999999</v>
      </c>
      <c r="C47">
        <v>56.759998000000003</v>
      </c>
      <c r="D47">
        <v>2704.1001000000001</v>
      </c>
      <c r="E47">
        <f t="shared" si="1"/>
        <v>5.5154030203054684E-2</v>
      </c>
      <c r="F47">
        <f t="shared" si="2"/>
        <v>0.22117035283993131</v>
      </c>
      <c r="G47">
        <f t="shared" si="3"/>
        <v>7.8684401592261144E-2</v>
      </c>
      <c r="I47" s="5" t="s">
        <v>22</v>
      </c>
      <c r="J47" s="5">
        <v>59</v>
      </c>
    </row>
    <row r="48" spans="1:17">
      <c r="A48" s="1">
        <v>43497</v>
      </c>
      <c r="B48">
        <v>173.14999399999999</v>
      </c>
      <c r="C48">
        <v>56.040000999999997</v>
      </c>
      <c r="D48">
        <v>2784.48999</v>
      </c>
      <c r="E48">
        <f t="shared" si="1"/>
        <v>4.0314779616501088E-2</v>
      </c>
      <c r="F48">
        <f t="shared" si="2"/>
        <v>-1.2684937022020445E-2</v>
      </c>
      <c r="G48">
        <f t="shared" si="3"/>
        <v>2.9728888364746527E-2</v>
      </c>
    </row>
    <row r="49" spans="1:17" ht="17" thickBot="1">
      <c r="A49" s="1">
        <v>43525</v>
      </c>
      <c r="B49">
        <v>189.949997</v>
      </c>
      <c r="C49">
        <v>51.91</v>
      </c>
      <c r="D49">
        <v>2834.3998999999999</v>
      </c>
      <c r="E49">
        <f t="shared" si="1"/>
        <v>9.7025720948046956E-2</v>
      </c>
      <c r="F49">
        <f t="shared" si="2"/>
        <v>-7.3697375558576458E-2</v>
      </c>
      <c r="G49">
        <f t="shared" si="3"/>
        <v>1.7924255493552647E-2</v>
      </c>
      <c r="I49" t="s">
        <v>23</v>
      </c>
    </row>
    <row r="50" spans="1:17">
      <c r="A50" s="1">
        <v>43556</v>
      </c>
      <c r="B50">
        <v>200.66999799999999</v>
      </c>
      <c r="C50">
        <v>54.23</v>
      </c>
      <c r="D50">
        <v>2945.8300800000002</v>
      </c>
      <c r="E50">
        <f t="shared" si="1"/>
        <v>5.6435910341183088E-2</v>
      </c>
      <c r="F50">
        <f t="shared" si="2"/>
        <v>4.4692737430167606E-2</v>
      </c>
      <c r="G50">
        <f t="shared" si="3"/>
        <v>3.9313499834656464E-2</v>
      </c>
      <c r="I50" s="6"/>
      <c r="J50" s="6" t="s">
        <v>28</v>
      </c>
      <c r="K50" s="6" t="s">
        <v>29</v>
      </c>
      <c r="L50" s="6" t="s">
        <v>30</v>
      </c>
      <c r="M50" s="6" t="s">
        <v>31</v>
      </c>
      <c r="N50" s="6" t="s">
        <v>32</v>
      </c>
    </row>
    <row r="51" spans="1:17">
      <c r="A51" s="1">
        <v>43586</v>
      </c>
      <c r="B51">
        <v>175.070007</v>
      </c>
      <c r="C51">
        <v>47.599997999999999</v>
      </c>
      <c r="D51">
        <v>2752.0600599999998</v>
      </c>
      <c r="E51">
        <f t="shared" si="1"/>
        <v>-0.12757258810557215</v>
      </c>
      <c r="F51">
        <f t="shared" si="2"/>
        <v>-0.12225709017149175</v>
      </c>
      <c r="G51">
        <f t="shared" si="3"/>
        <v>-6.5777731484091703E-2</v>
      </c>
      <c r="I51" s="4" t="s">
        <v>24</v>
      </c>
      <c r="J51" s="4">
        <v>1</v>
      </c>
      <c r="K51" s="4">
        <v>0.2332167175227613</v>
      </c>
      <c r="L51" s="4">
        <v>0.2332167175227613</v>
      </c>
      <c r="M51" s="4">
        <v>49.023320997422431</v>
      </c>
      <c r="N51" s="4">
        <v>3.1615823562269487E-9</v>
      </c>
    </row>
    <row r="52" spans="1:17">
      <c r="A52" s="1">
        <v>43617</v>
      </c>
      <c r="B52">
        <v>197.91999799999999</v>
      </c>
      <c r="C52">
        <v>50.779998999999997</v>
      </c>
      <c r="D52">
        <v>2941.76001</v>
      </c>
      <c r="E52">
        <f t="shared" si="1"/>
        <v>0.13051916425638796</v>
      </c>
      <c r="F52">
        <f t="shared" si="2"/>
        <v>6.6806746504485093E-2</v>
      </c>
      <c r="G52">
        <f t="shared" si="3"/>
        <v>6.8930163537201355E-2</v>
      </c>
      <c r="I52" s="4" t="s">
        <v>25</v>
      </c>
      <c r="J52" s="4">
        <v>57</v>
      </c>
      <c r="K52" s="4">
        <v>0.27116385892127415</v>
      </c>
      <c r="L52" s="4">
        <v>4.7572606828293713E-3</v>
      </c>
      <c r="M52" s="4"/>
      <c r="N52" s="4"/>
    </row>
    <row r="53" spans="1:17" ht="17" thickBot="1">
      <c r="A53" s="1">
        <v>43647</v>
      </c>
      <c r="B53">
        <v>213.03999300000001</v>
      </c>
      <c r="C53">
        <v>51.529998999999997</v>
      </c>
      <c r="D53">
        <v>2980.37988</v>
      </c>
      <c r="E53">
        <f t="shared" si="1"/>
        <v>7.6394478338667013E-2</v>
      </c>
      <c r="F53">
        <f t="shared" si="2"/>
        <v>1.4769594619330341E-2</v>
      </c>
      <c r="G53">
        <f t="shared" si="3"/>
        <v>1.3128151130180055E-2</v>
      </c>
      <c r="I53" s="5" t="s">
        <v>26</v>
      </c>
      <c r="J53" s="5">
        <v>58</v>
      </c>
      <c r="K53" s="5">
        <v>0.50438057644403544</v>
      </c>
      <c r="L53" s="5"/>
      <c r="M53" s="5"/>
      <c r="N53" s="5"/>
    </row>
    <row r="54" spans="1:17" ht="17" thickBot="1">
      <c r="A54" s="1">
        <v>43678</v>
      </c>
      <c r="B54">
        <v>208.740005</v>
      </c>
      <c r="C54">
        <v>52.32</v>
      </c>
      <c r="D54">
        <v>2926.4599600000001</v>
      </c>
      <c r="E54">
        <f t="shared" si="1"/>
        <v>-2.0183947339878165E-2</v>
      </c>
      <c r="F54">
        <f t="shared" si="2"/>
        <v>1.5330894922004632E-2</v>
      </c>
      <c r="G54">
        <f t="shared" si="3"/>
        <v>-1.8091626628481943E-2</v>
      </c>
    </row>
    <row r="55" spans="1:17">
      <c r="A55" s="1">
        <v>43709</v>
      </c>
      <c r="B55">
        <v>223.970001</v>
      </c>
      <c r="C55">
        <v>54.009998000000003</v>
      </c>
      <c r="D55">
        <v>2976.73999</v>
      </c>
      <c r="E55">
        <f t="shared" si="1"/>
        <v>7.2961558087535738E-2</v>
      </c>
      <c r="F55">
        <f t="shared" si="2"/>
        <v>3.2301185015290571E-2</v>
      </c>
      <c r="G55">
        <f t="shared" si="3"/>
        <v>1.718117817678937E-2</v>
      </c>
      <c r="I55" s="6"/>
      <c r="J55" s="6" t="s">
        <v>33</v>
      </c>
      <c r="K55" s="6" t="s">
        <v>21</v>
      </c>
      <c r="L55" s="6" t="s">
        <v>34</v>
      </c>
      <c r="M55" s="6" t="s">
        <v>35</v>
      </c>
      <c r="N55" s="6" t="s">
        <v>36</v>
      </c>
      <c r="O55" s="6" t="s">
        <v>37</v>
      </c>
      <c r="P55" s="6" t="s">
        <v>38</v>
      </c>
      <c r="Q55" s="6" t="s">
        <v>39</v>
      </c>
    </row>
    <row r="56" spans="1:17">
      <c r="A56" s="1">
        <v>43739</v>
      </c>
      <c r="B56">
        <v>248.759995</v>
      </c>
      <c r="C56">
        <v>56.130001</v>
      </c>
      <c r="D56">
        <v>3037.5600599999998</v>
      </c>
      <c r="E56">
        <f t="shared" si="1"/>
        <v>0.110684439386148</v>
      </c>
      <c r="F56">
        <f t="shared" si="2"/>
        <v>3.9252047370933005E-2</v>
      </c>
      <c r="G56">
        <f t="shared" si="3"/>
        <v>2.0431771066440962E-2</v>
      </c>
      <c r="I56" s="4" t="s">
        <v>27</v>
      </c>
      <c r="J56" s="4">
        <v>-4.5994265970739131E-3</v>
      </c>
      <c r="K56" s="4">
        <v>9.064608913941544E-3</v>
      </c>
      <c r="L56" s="4">
        <v>-0.50740485780913347</v>
      </c>
      <c r="M56" s="4">
        <v>0.6138284603419687</v>
      </c>
      <c r="N56" s="4">
        <v>-2.2750992849223217E-2</v>
      </c>
      <c r="O56" s="4">
        <v>1.3552139655075393E-2</v>
      </c>
      <c r="P56" s="4">
        <v>-2.2750992849223217E-2</v>
      </c>
      <c r="Q56" s="4">
        <v>1.3552139655075393E-2</v>
      </c>
    </row>
    <row r="57" spans="1:17" ht="17" thickBot="1">
      <c r="A57" s="1">
        <v>43770</v>
      </c>
      <c r="B57">
        <v>267.25</v>
      </c>
      <c r="C57">
        <v>57.639999000000003</v>
      </c>
      <c r="D57">
        <v>3140.9799800000001</v>
      </c>
      <c r="E57">
        <f t="shared" si="1"/>
        <v>7.4328691797891366E-2</v>
      </c>
      <c r="F57">
        <f t="shared" si="2"/>
        <v>2.6901798914986712E-2</v>
      </c>
      <c r="G57">
        <f t="shared" si="3"/>
        <v>3.4047037081466065E-2</v>
      </c>
      <c r="I57" s="5" t="s">
        <v>4</v>
      </c>
      <c r="J57" s="5">
        <v>1.5471682981671615</v>
      </c>
      <c r="K57" s="5">
        <v>0.22097146441227741</v>
      </c>
      <c r="L57" s="5">
        <v>7.0016655873743634</v>
      </c>
      <c r="M57" s="5">
        <v>3.1615823562270066E-9</v>
      </c>
      <c r="N57" s="5">
        <v>1.1046805731926241</v>
      </c>
      <c r="O57" s="5">
        <v>1.9896560231416989</v>
      </c>
      <c r="P57" s="5">
        <v>1.1046805731926241</v>
      </c>
      <c r="Q57" s="5">
        <v>1.9896560231416989</v>
      </c>
    </row>
    <row r="58" spans="1:17">
      <c r="A58" s="1">
        <v>43800</v>
      </c>
      <c r="B58">
        <v>293.64999399999999</v>
      </c>
      <c r="C58">
        <v>53.98</v>
      </c>
      <c r="D58">
        <v>3230.7800299999999</v>
      </c>
      <c r="E58">
        <f t="shared" si="1"/>
        <v>9.8783887745556562E-2</v>
      </c>
      <c r="F58">
        <f t="shared" si="2"/>
        <v>-6.3497554883718957E-2</v>
      </c>
      <c r="G58">
        <f t="shared" si="3"/>
        <v>2.8589819283088784E-2</v>
      </c>
    </row>
    <row r="59" spans="1:17">
      <c r="A59" s="1">
        <v>43831</v>
      </c>
      <c r="B59">
        <v>309.51001000000002</v>
      </c>
      <c r="C59">
        <v>54.98</v>
      </c>
      <c r="D59">
        <v>3225.5200199999999</v>
      </c>
      <c r="E59">
        <f t="shared" si="1"/>
        <v>5.4009931292557871E-2</v>
      </c>
      <c r="F59">
        <f t="shared" si="2"/>
        <v>1.8525379770285292E-2</v>
      </c>
      <c r="G59">
        <f t="shared" si="3"/>
        <v>-1.6280928912390132E-3</v>
      </c>
    </row>
    <row r="60" spans="1:17">
      <c r="A60" s="1">
        <v>43862</v>
      </c>
      <c r="B60">
        <v>273.35998499999999</v>
      </c>
      <c r="C60">
        <v>46.189999</v>
      </c>
      <c r="D60">
        <v>2954.2199700000001</v>
      </c>
      <c r="E60">
        <f t="shared" si="1"/>
        <v>-0.11679759565773018</v>
      </c>
      <c r="F60">
        <f t="shared" si="2"/>
        <v>-0.15987633684976349</v>
      </c>
      <c r="G60">
        <f t="shared" si="3"/>
        <v>-8.4110483989493209E-2</v>
      </c>
    </row>
    <row r="61" spans="1:17">
      <c r="A61" s="1">
        <v>43891</v>
      </c>
      <c r="B61">
        <v>254.28999300000001</v>
      </c>
      <c r="C61">
        <v>35.610000999999997</v>
      </c>
      <c r="D61">
        <v>2584.5900900000001</v>
      </c>
      <c r="E61">
        <f t="shared" si="1"/>
        <v>-6.9761461246787768E-2</v>
      </c>
      <c r="F61">
        <f t="shared" si="2"/>
        <v>-0.22905386943177902</v>
      </c>
      <c r="G61">
        <f t="shared" si="3"/>
        <v>-0.12511928148667953</v>
      </c>
    </row>
    <row r="62" spans="1:17">
      <c r="A62" s="1">
        <v>43922</v>
      </c>
      <c r="B62">
        <v>267.98998999999998</v>
      </c>
      <c r="C62">
        <v>36.470001000000003</v>
      </c>
      <c r="D62">
        <v>2789.8200700000002</v>
      </c>
      <c r="E62">
        <f t="shared" si="1"/>
        <v>5.3875486165906525E-2</v>
      </c>
      <c r="F62">
        <f t="shared" si="2"/>
        <v>2.4150518838794939E-2</v>
      </c>
      <c r="G62">
        <f t="shared" si="3"/>
        <v>7.9405233655445939E-2</v>
      </c>
    </row>
  </sheetData>
  <mergeCells count="2">
    <mergeCell ref="B1:D1"/>
    <mergeCell ref="E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"/>
  <sheetViews>
    <sheetView zoomScale="170" zoomScaleNormal="170" workbookViewId="0">
      <selection activeCell="M7" sqref="M7"/>
    </sheetView>
  </sheetViews>
  <sheetFormatPr baseColWidth="10" defaultRowHeight="16"/>
  <cols>
    <col min="4" max="4" width="16" bestFit="1" customWidth="1"/>
    <col min="5" max="5" width="16" customWidth="1"/>
    <col min="6" max="6" width="17.5" bestFit="1" customWidth="1"/>
    <col min="7" max="7" width="13.83203125" bestFit="1" customWidth="1"/>
  </cols>
  <sheetData>
    <row r="1" spans="1:10">
      <c r="B1" s="8" t="s">
        <v>1</v>
      </c>
      <c r="C1" s="8" t="s">
        <v>1</v>
      </c>
      <c r="D1" s="3" t="s">
        <v>40</v>
      </c>
      <c r="E1" s="3"/>
      <c r="F1" s="9" t="s">
        <v>46</v>
      </c>
      <c r="G1" s="10" t="s">
        <v>41</v>
      </c>
      <c r="H1" s="10"/>
      <c r="I1" s="10"/>
      <c r="J1" s="10"/>
    </row>
    <row r="2" spans="1:10">
      <c r="A2" t="s">
        <v>0</v>
      </c>
      <c r="B2" t="s">
        <v>2</v>
      </c>
      <c r="C2" t="s">
        <v>2</v>
      </c>
      <c r="D2" t="s">
        <v>2</v>
      </c>
      <c r="E2" t="s">
        <v>42</v>
      </c>
      <c r="F2" t="s">
        <v>2</v>
      </c>
      <c r="G2" t="s">
        <v>43</v>
      </c>
      <c r="H2" t="s">
        <v>44</v>
      </c>
      <c r="I2" t="s">
        <v>45</v>
      </c>
      <c r="J2" t="s">
        <v>2</v>
      </c>
    </row>
    <row r="3" spans="1:10">
      <c r="A3" s="1">
        <v>42125</v>
      </c>
      <c r="B3">
        <v>130.279999</v>
      </c>
      <c r="C3">
        <v>130.279999</v>
      </c>
      <c r="E3">
        <v>1</v>
      </c>
    </row>
    <row r="4" spans="1:10">
      <c r="A4" s="1">
        <v>42156</v>
      </c>
      <c r="B4">
        <v>125.43</v>
      </c>
      <c r="C4">
        <v>125.43</v>
      </c>
      <c r="E4">
        <v>2</v>
      </c>
      <c r="G4">
        <v>130.279999</v>
      </c>
    </row>
    <row r="5" spans="1:10">
      <c r="A5" s="1">
        <v>42186</v>
      </c>
      <c r="B5">
        <v>121.300003</v>
      </c>
      <c r="C5">
        <v>121.300003</v>
      </c>
      <c r="E5">
        <v>3</v>
      </c>
      <c r="G5">
        <v>125.43</v>
      </c>
      <c r="H5">
        <v>130.279999</v>
      </c>
    </row>
    <row r="6" spans="1:10">
      <c r="A6" s="1">
        <v>42217</v>
      </c>
      <c r="B6">
        <v>112.91999800000001</v>
      </c>
      <c r="C6">
        <v>112.91999800000001</v>
      </c>
      <c r="E6">
        <v>4</v>
      </c>
      <c r="G6">
        <v>121.300003</v>
      </c>
      <c r="H6">
        <v>125.43</v>
      </c>
      <c r="I6">
        <v>130.279999</v>
      </c>
    </row>
    <row r="7" spans="1:10">
      <c r="A7" s="1">
        <v>42248</v>
      </c>
      <c r="B7">
        <v>110.300003</v>
      </c>
      <c r="C7">
        <v>110.300003</v>
      </c>
      <c r="E7">
        <v>5</v>
      </c>
      <c r="G7">
        <v>112.91999800000001</v>
      </c>
      <c r="H7">
        <v>121.300003</v>
      </c>
      <c r="I7">
        <v>125.43</v>
      </c>
    </row>
    <row r="8" spans="1:10">
      <c r="A8" s="1">
        <v>42278</v>
      </c>
      <c r="B8">
        <v>119.5</v>
      </c>
      <c r="C8">
        <v>119.5</v>
      </c>
      <c r="E8">
        <v>6</v>
      </c>
      <c r="G8">
        <v>110.300003</v>
      </c>
      <c r="H8">
        <v>112.91999800000001</v>
      </c>
      <c r="I8">
        <v>121.300003</v>
      </c>
    </row>
    <row r="9" spans="1:10">
      <c r="A9" s="1">
        <v>42309</v>
      </c>
      <c r="B9">
        <v>118.300003</v>
      </c>
      <c r="C9">
        <v>118.300003</v>
      </c>
      <c r="E9">
        <v>7</v>
      </c>
      <c r="G9">
        <v>119.5</v>
      </c>
      <c r="H9">
        <v>110.300003</v>
      </c>
      <c r="I9">
        <v>112.91999800000001</v>
      </c>
    </row>
    <row r="10" spans="1:10">
      <c r="A10" s="1">
        <v>42339</v>
      </c>
      <c r="B10">
        <v>105.260002</v>
      </c>
      <c r="C10">
        <v>105.260002</v>
      </c>
      <c r="E10">
        <v>8</v>
      </c>
      <c r="G10">
        <v>118.300003</v>
      </c>
      <c r="H10">
        <v>119.5</v>
      </c>
      <c r="I10">
        <v>110.300003</v>
      </c>
    </row>
    <row r="11" spans="1:10">
      <c r="A11" s="1">
        <v>42370</v>
      </c>
      <c r="B11">
        <v>97.339995999999999</v>
      </c>
      <c r="C11">
        <v>97.339995999999999</v>
      </c>
      <c r="E11">
        <v>9</v>
      </c>
      <c r="G11">
        <v>105.260002</v>
      </c>
      <c r="H11">
        <v>118.300003</v>
      </c>
      <c r="I11">
        <v>119.5</v>
      </c>
    </row>
    <row r="12" spans="1:10">
      <c r="A12" s="1">
        <v>42401</v>
      </c>
      <c r="B12">
        <v>96.690002000000007</v>
      </c>
      <c r="C12">
        <v>96.690002000000007</v>
      </c>
      <c r="E12">
        <v>10</v>
      </c>
      <c r="G12">
        <v>97.339995999999999</v>
      </c>
      <c r="H12">
        <v>105.260002</v>
      </c>
      <c r="I12">
        <v>118.300003</v>
      </c>
    </row>
    <row r="13" spans="1:10">
      <c r="A13" s="1">
        <v>42430</v>
      </c>
      <c r="B13">
        <v>108.989998</v>
      </c>
      <c r="C13">
        <v>108.989998</v>
      </c>
      <c r="E13">
        <v>11</v>
      </c>
      <c r="G13">
        <v>96.690002000000007</v>
      </c>
      <c r="H13">
        <v>97.339995999999999</v>
      </c>
      <c r="I13">
        <v>105.260002</v>
      </c>
    </row>
    <row r="14" spans="1:10">
      <c r="A14" s="1">
        <v>42461</v>
      </c>
      <c r="B14">
        <v>93.739998</v>
      </c>
      <c r="C14">
        <v>93.739998</v>
      </c>
      <c r="E14">
        <v>12</v>
      </c>
      <c r="G14">
        <v>108.989998</v>
      </c>
      <c r="H14">
        <v>96.690002000000007</v>
      </c>
      <c r="I14">
        <v>97.339995999999999</v>
      </c>
    </row>
    <row r="15" spans="1:10">
      <c r="A15" s="1">
        <v>42491</v>
      </c>
      <c r="B15">
        <v>99.860000999999997</v>
      </c>
      <c r="C15">
        <v>99.860000999999997</v>
      </c>
      <c r="E15">
        <v>13</v>
      </c>
      <c r="G15">
        <v>93.739998</v>
      </c>
      <c r="H15">
        <v>108.989998</v>
      </c>
      <c r="I15">
        <v>96.690002000000007</v>
      </c>
    </row>
    <row r="16" spans="1:10">
      <c r="A16" s="1">
        <v>42522</v>
      </c>
      <c r="B16">
        <v>95.599997999999999</v>
      </c>
      <c r="C16">
        <v>95.599997999999999</v>
      </c>
      <c r="E16">
        <v>14</v>
      </c>
      <c r="G16">
        <v>99.860000999999997</v>
      </c>
      <c r="H16">
        <v>93.739998</v>
      </c>
      <c r="I16">
        <v>108.989998</v>
      </c>
    </row>
    <row r="17" spans="1:9">
      <c r="A17" s="1">
        <v>42552</v>
      </c>
      <c r="B17">
        <v>104.209999</v>
      </c>
      <c r="C17">
        <v>104.209999</v>
      </c>
      <c r="E17">
        <v>15</v>
      </c>
      <c r="G17">
        <v>95.599997999999999</v>
      </c>
      <c r="H17">
        <v>99.860000999999997</v>
      </c>
      <c r="I17">
        <v>93.739998</v>
      </c>
    </row>
    <row r="18" spans="1:9">
      <c r="A18" s="1">
        <v>42583</v>
      </c>
      <c r="B18">
        <v>106.099998</v>
      </c>
      <c r="C18">
        <v>106.099998</v>
      </c>
      <c r="E18">
        <v>16</v>
      </c>
      <c r="G18">
        <v>104.209999</v>
      </c>
      <c r="H18">
        <v>95.599997999999999</v>
      </c>
      <c r="I18">
        <v>99.860000999999997</v>
      </c>
    </row>
    <row r="19" spans="1:9">
      <c r="A19" s="1">
        <v>42614</v>
      </c>
      <c r="B19">
        <v>113.050003</v>
      </c>
      <c r="C19">
        <v>113.050003</v>
      </c>
      <c r="E19">
        <v>17</v>
      </c>
      <c r="G19">
        <v>106.099998</v>
      </c>
      <c r="H19">
        <v>104.209999</v>
      </c>
      <c r="I19">
        <v>95.599997999999999</v>
      </c>
    </row>
    <row r="20" spans="1:9">
      <c r="A20" s="1">
        <v>42644</v>
      </c>
      <c r="B20">
        <v>113.540001</v>
      </c>
      <c r="C20">
        <v>113.540001</v>
      </c>
      <c r="E20">
        <v>18</v>
      </c>
      <c r="G20">
        <v>113.050003</v>
      </c>
      <c r="H20">
        <v>106.099998</v>
      </c>
      <c r="I20">
        <v>104.209999</v>
      </c>
    </row>
    <row r="21" spans="1:9">
      <c r="A21" s="1">
        <v>42675</v>
      </c>
      <c r="B21">
        <v>110.519997</v>
      </c>
      <c r="C21">
        <v>110.519997</v>
      </c>
      <c r="E21">
        <v>19</v>
      </c>
      <c r="G21">
        <v>113.540001</v>
      </c>
      <c r="H21">
        <v>113.050003</v>
      </c>
      <c r="I21">
        <v>106.099998</v>
      </c>
    </row>
    <row r="22" spans="1:9">
      <c r="A22" s="1">
        <v>42705</v>
      </c>
      <c r="B22">
        <v>115.82</v>
      </c>
      <c r="C22">
        <v>115.82</v>
      </c>
      <c r="E22">
        <v>20</v>
      </c>
      <c r="G22">
        <v>110.519997</v>
      </c>
      <c r="H22">
        <v>113.540001</v>
      </c>
      <c r="I22">
        <v>113.050003</v>
      </c>
    </row>
    <row r="23" spans="1:9">
      <c r="A23" s="1">
        <v>42736</v>
      </c>
      <c r="B23">
        <v>121.349998</v>
      </c>
      <c r="C23">
        <v>121.349998</v>
      </c>
      <c r="E23">
        <v>21</v>
      </c>
      <c r="G23">
        <v>115.82</v>
      </c>
      <c r="H23">
        <v>110.519997</v>
      </c>
      <c r="I23">
        <v>113.540001</v>
      </c>
    </row>
    <row r="24" spans="1:9">
      <c r="A24" s="1">
        <v>42767</v>
      </c>
      <c r="B24">
        <v>136.990005</v>
      </c>
      <c r="C24">
        <v>136.990005</v>
      </c>
      <c r="E24">
        <v>22</v>
      </c>
      <c r="G24">
        <v>121.349998</v>
      </c>
      <c r="H24">
        <v>115.82</v>
      </c>
      <c r="I24">
        <v>110.519997</v>
      </c>
    </row>
    <row r="25" spans="1:9">
      <c r="A25" s="1">
        <v>42795</v>
      </c>
      <c r="B25">
        <v>143.66000399999999</v>
      </c>
      <c r="C25">
        <v>143.66000399999999</v>
      </c>
      <c r="E25">
        <v>23</v>
      </c>
      <c r="G25">
        <v>136.990005</v>
      </c>
      <c r="H25">
        <v>121.349998</v>
      </c>
      <c r="I25">
        <v>115.82</v>
      </c>
    </row>
    <row r="26" spans="1:9">
      <c r="A26" s="1">
        <v>42826</v>
      </c>
      <c r="B26">
        <v>143.64999399999999</v>
      </c>
      <c r="C26">
        <v>143.64999399999999</v>
      </c>
      <c r="E26">
        <v>24</v>
      </c>
      <c r="G26">
        <v>143.66000399999999</v>
      </c>
      <c r="H26">
        <v>136.990005</v>
      </c>
      <c r="I26">
        <v>121.349998</v>
      </c>
    </row>
    <row r="27" spans="1:9">
      <c r="A27" s="1">
        <v>42856</v>
      </c>
      <c r="B27">
        <v>152.759995</v>
      </c>
      <c r="C27">
        <v>152.759995</v>
      </c>
      <c r="E27">
        <v>25</v>
      </c>
      <c r="G27">
        <v>143.64999399999999</v>
      </c>
      <c r="H27">
        <v>143.66000399999999</v>
      </c>
      <c r="I27">
        <v>136.990005</v>
      </c>
    </row>
    <row r="28" spans="1:9">
      <c r="A28" s="1">
        <v>42887</v>
      </c>
      <c r="B28">
        <v>144.020004</v>
      </c>
      <c r="C28">
        <v>144.020004</v>
      </c>
      <c r="E28">
        <v>26</v>
      </c>
      <c r="G28">
        <v>152.759995</v>
      </c>
      <c r="H28">
        <v>143.64999399999999</v>
      </c>
      <c r="I28">
        <v>143.66000399999999</v>
      </c>
    </row>
    <row r="29" spans="1:9">
      <c r="A29" s="1">
        <v>42917</v>
      </c>
      <c r="B29">
        <v>148.729996</v>
      </c>
      <c r="C29">
        <v>148.729996</v>
      </c>
      <c r="E29">
        <v>27</v>
      </c>
      <c r="G29">
        <v>144.020004</v>
      </c>
      <c r="H29">
        <v>152.759995</v>
      </c>
      <c r="I29">
        <v>143.64999399999999</v>
      </c>
    </row>
    <row r="30" spans="1:9">
      <c r="A30" s="1">
        <v>42948</v>
      </c>
      <c r="B30">
        <v>164</v>
      </c>
      <c r="C30">
        <v>164</v>
      </c>
      <c r="E30">
        <v>28</v>
      </c>
      <c r="G30">
        <v>148.729996</v>
      </c>
      <c r="H30">
        <v>144.020004</v>
      </c>
      <c r="I30">
        <v>152.759995</v>
      </c>
    </row>
    <row r="31" spans="1:9">
      <c r="A31" s="1">
        <v>42979</v>
      </c>
      <c r="B31">
        <v>154.11999499999999</v>
      </c>
      <c r="C31">
        <v>154.11999499999999</v>
      </c>
      <c r="E31">
        <v>29</v>
      </c>
      <c r="G31">
        <v>164</v>
      </c>
      <c r="H31">
        <v>148.729996</v>
      </c>
      <c r="I31">
        <v>144.020004</v>
      </c>
    </row>
    <row r="32" spans="1:9">
      <c r="A32" s="1">
        <v>43009</v>
      </c>
      <c r="B32">
        <v>169.03999300000001</v>
      </c>
      <c r="C32">
        <v>169.03999300000001</v>
      </c>
      <c r="E32">
        <v>30</v>
      </c>
      <c r="G32">
        <v>154.11999499999999</v>
      </c>
      <c r="H32">
        <v>164</v>
      </c>
      <c r="I32">
        <v>148.729996</v>
      </c>
    </row>
    <row r="33" spans="1:9">
      <c r="A33" s="1">
        <v>43040</v>
      </c>
      <c r="B33">
        <v>171.85000600000001</v>
      </c>
      <c r="C33">
        <v>171.85000600000001</v>
      </c>
      <c r="E33">
        <v>31</v>
      </c>
      <c r="G33">
        <v>169.03999300000001</v>
      </c>
      <c r="H33">
        <v>154.11999499999999</v>
      </c>
      <c r="I33">
        <v>164</v>
      </c>
    </row>
    <row r="34" spans="1:9">
      <c r="A34" s="1">
        <v>43070</v>
      </c>
      <c r="B34">
        <v>169.229996</v>
      </c>
      <c r="C34">
        <v>169.229996</v>
      </c>
      <c r="E34">
        <v>32</v>
      </c>
      <c r="G34">
        <v>171.85000600000001</v>
      </c>
      <c r="H34">
        <v>169.03999300000001</v>
      </c>
      <c r="I34">
        <v>154.11999499999999</v>
      </c>
    </row>
    <row r="35" spans="1:9">
      <c r="A35" s="1">
        <v>43101</v>
      </c>
      <c r="B35">
        <v>167.429993</v>
      </c>
      <c r="C35">
        <v>167.429993</v>
      </c>
      <c r="E35">
        <v>33</v>
      </c>
      <c r="G35">
        <v>169.229996</v>
      </c>
      <c r="H35">
        <v>171.85000600000001</v>
      </c>
      <c r="I35">
        <v>169.03999300000001</v>
      </c>
    </row>
    <row r="36" spans="1:9">
      <c r="A36" s="1">
        <v>43132</v>
      </c>
      <c r="B36">
        <v>178.11999499999999</v>
      </c>
      <c r="C36">
        <v>178.11999499999999</v>
      </c>
      <c r="E36">
        <v>34</v>
      </c>
      <c r="G36">
        <v>167.429993</v>
      </c>
      <c r="H36">
        <v>169.229996</v>
      </c>
      <c r="I36">
        <v>171.85000600000001</v>
      </c>
    </row>
    <row r="37" spans="1:9">
      <c r="A37" s="1">
        <v>43160</v>
      </c>
      <c r="B37">
        <v>167.779999</v>
      </c>
      <c r="C37">
        <v>167.779999</v>
      </c>
      <c r="E37">
        <v>35</v>
      </c>
      <c r="G37">
        <v>178.11999499999999</v>
      </c>
      <c r="H37">
        <v>167.429993</v>
      </c>
      <c r="I37">
        <v>169.229996</v>
      </c>
    </row>
    <row r="38" spans="1:9">
      <c r="A38" s="1">
        <v>43191</v>
      </c>
      <c r="B38">
        <v>165.259995</v>
      </c>
      <c r="C38">
        <v>165.259995</v>
      </c>
      <c r="E38">
        <v>36</v>
      </c>
      <c r="G38">
        <v>167.779999</v>
      </c>
      <c r="H38">
        <v>178.11999499999999</v>
      </c>
      <c r="I38">
        <v>167.429993</v>
      </c>
    </row>
    <row r="39" spans="1:9">
      <c r="A39" s="1">
        <v>43221</v>
      </c>
      <c r="B39">
        <v>186.86999499999999</v>
      </c>
      <c r="C39">
        <v>186.86999499999999</v>
      </c>
      <c r="E39">
        <v>37</v>
      </c>
      <c r="G39">
        <v>165.259995</v>
      </c>
      <c r="H39">
        <v>167.779999</v>
      </c>
      <c r="I39">
        <v>178.11999499999999</v>
      </c>
    </row>
    <row r="40" spans="1:9">
      <c r="A40" s="1">
        <v>43252</v>
      </c>
      <c r="B40">
        <v>185.11000100000001</v>
      </c>
      <c r="C40">
        <v>185.11000100000001</v>
      </c>
      <c r="E40">
        <v>38</v>
      </c>
      <c r="G40">
        <v>186.86999499999999</v>
      </c>
      <c r="H40">
        <v>165.259995</v>
      </c>
      <c r="I40">
        <v>167.779999</v>
      </c>
    </row>
    <row r="41" spans="1:9">
      <c r="A41" s="1">
        <v>43282</v>
      </c>
      <c r="B41">
        <v>190.28999300000001</v>
      </c>
      <c r="C41">
        <v>190.28999300000001</v>
      </c>
      <c r="E41">
        <v>39</v>
      </c>
      <c r="G41">
        <v>185.11000100000001</v>
      </c>
      <c r="H41">
        <v>186.86999499999999</v>
      </c>
      <c r="I41">
        <v>165.259995</v>
      </c>
    </row>
    <row r="42" spans="1:9">
      <c r="A42" s="1">
        <v>43313</v>
      </c>
      <c r="B42">
        <v>227.63000500000001</v>
      </c>
      <c r="C42">
        <v>227.63000500000001</v>
      </c>
      <c r="E42">
        <v>40</v>
      </c>
      <c r="G42">
        <v>190.28999300000001</v>
      </c>
      <c r="H42">
        <v>185.11000100000001</v>
      </c>
      <c r="I42">
        <v>186.86999499999999</v>
      </c>
    </row>
    <row r="43" spans="1:9">
      <c r="A43" s="1">
        <v>43344</v>
      </c>
      <c r="B43">
        <v>225.740005</v>
      </c>
      <c r="C43">
        <v>225.740005</v>
      </c>
      <c r="E43">
        <v>41</v>
      </c>
      <c r="G43">
        <v>227.63000500000001</v>
      </c>
      <c r="H43">
        <v>190.28999300000001</v>
      </c>
      <c r="I43">
        <v>185.11000100000001</v>
      </c>
    </row>
    <row r="44" spans="1:9">
      <c r="A44" s="1">
        <v>43374</v>
      </c>
      <c r="B44">
        <v>218.86000100000001</v>
      </c>
      <c r="C44">
        <v>218.86000100000001</v>
      </c>
      <c r="E44">
        <v>42</v>
      </c>
      <c r="G44">
        <v>225.740005</v>
      </c>
      <c r="H44">
        <v>227.63000500000001</v>
      </c>
      <c r="I44">
        <v>190.28999300000001</v>
      </c>
    </row>
    <row r="45" spans="1:9">
      <c r="A45" s="1">
        <v>43405</v>
      </c>
      <c r="B45">
        <v>178.58000200000001</v>
      </c>
      <c r="C45">
        <v>178.58000200000001</v>
      </c>
      <c r="E45">
        <v>43</v>
      </c>
      <c r="G45">
        <v>218.86000100000001</v>
      </c>
      <c r="H45">
        <v>225.740005</v>
      </c>
      <c r="I45">
        <v>227.63000500000001</v>
      </c>
    </row>
    <row r="46" spans="1:9">
      <c r="A46" s="1">
        <v>43435</v>
      </c>
      <c r="B46">
        <v>157.740005</v>
      </c>
      <c r="C46">
        <v>157.740005</v>
      </c>
      <c r="E46">
        <v>44</v>
      </c>
      <c r="G46">
        <v>178.58000200000001</v>
      </c>
      <c r="H46">
        <v>218.86000100000001</v>
      </c>
      <c r="I46">
        <v>225.740005</v>
      </c>
    </row>
    <row r="47" spans="1:9">
      <c r="A47" s="1">
        <v>43466</v>
      </c>
      <c r="B47">
        <v>166.44000199999999</v>
      </c>
      <c r="E47">
        <v>45</v>
      </c>
    </row>
    <row r="48" spans="1:9">
      <c r="A48" s="1">
        <v>43497</v>
      </c>
      <c r="B48">
        <v>173.14999399999999</v>
      </c>
      <c r="E48">
        <v>46</v>
      </c>
    </row>
    <row r="49" spans="1:5">
      <c r="A49" s="1">
        <v>43525</v>
      </c>
      <c r="B49">
        <v>189.949997</v>
      </c>
      <c r="E49">
        <v>47</v>
      </c>
    </row>
    <row r="50" spans="1:5">
      <c r="A50" s="1">
        <v>43556</v>
      </c>
      <c r="B50">
        <v>200.66999799999999</v>
      </c>
      <c r="E50">
        <v>48</v>
      </c>
    </row>
    <row r="51" spans="1:5">
      <c r="A51" s="1">
        <v>43586</v>
      </c>
      <c r="B51">
        <v>175.070007</v>
      </c>
      <c r="E51">
        <v>49</v>
      </c>
    </row>
    <row r="52" spans="1:5">
      <c r="A52" s="1">
        <v>43617</v>
      </c>
      <c r="B52">
        <v>197.91999799999999</v>
      </c>
      <c r="E52">
        <v>50</v>
      </c>
    </row>
    <row r="53" spans="1:5">
      <c r="A53" s="1">
        <v>43647</v>
      </c>
      <c r="B53">
        <v>213.03999300000001</v>
      </c>
      <c r="E53">
        <v>51</v>
      </c>
    </row>
    <row r="54" spans="1:5">
      <c r="A54" s="1">
        <v>43678</v>
      </c>
      <c r="B54">
        <v>208.740005</v>
      </c>
      <c r="E54">
        <v>52</v>
      </c>
    </row>
    <row r="55" spans="1:5">
      <c r="A55" s="1">
        <v>43709</v>
      </c>
      <c r="B55">
        <v>223.970001</v>
      </c>
      <c r="E55">
        <v>53</v>
      </c>
    </row>
    <row r="56" spans="1:5">
      <c r="A56" s="1">
        <v>43739</v>
      </c>
      <c r="B56">
        <v>248.759995</v>
      </c>
      <c r="E56">
        <v>54</v>
      </c>
    </row>
    <row r="57" spans="1:5">
      <c r="A57" s="1">
        <v>43770</v>
      </c>
      <c r="B57">
        <v>267.25</v>
      </c>
      <c r="E57">
        <v>55</v>
      </c>
    </row>
    <row r="58" spans="1:5">
      <c r="A58" s="1">
        <v>43800</v>
      </c>
      <c r="B58">
        <v>293.64999399999999</v>
      </c>
      <c r="E58">
        <v>56</v>
      </c>
    </row>
    <row r="59" spans="1:5">
      <c r="A59" s="1">
        <v>43831</v>
      </c>
      <c r="B59">
        <v>309.51001000000002</v>
      </c>
      <c r="E59">
        <v>57</v>
      </c>
    </row>
    <row r="60" spans="1:5">
      <c r="A60" s="1">
        <v>43862</v>
      </c>
      <c r="B60">
        <v>273.35998499999999</v>
      </c>
      <c r="E60">
        <v>58</v>
      </c>
    </row>
    <row r="61" spans="1:5">
      <c r="A61" s="1">
        <v>43891</v>
      </c>
      <c r="B61">
        <v>254.28999300000001</v>
      </c>
      <c r="E61">
        <v>59</v>
      </c>
    </row>
    <row r="62" spans="1:5">
      <c r="A62" s="1">
        <v>43922</v>
      </c>
      <c r="B62">
        <v>267.98998999999998</v>
      </c>
      <c r="E62">
        <v>60</v>
      </c>
    </row>
    <row r="63" spans="1:5">
      <c r="E63">
        <v>61</v>
      </c>
    </row>
  </sheetData>
  <mergeCells count="2">
    <mergeCell ref="G1:J1"/>
    <mergeCell ref="D1:E1"/>
  </mergeCells>
  <pageMargins left="0.7" right="0.7" top="0.75" bottom="0.75" header="0.3" footer="0.3"/>
</worksheet>
</file>